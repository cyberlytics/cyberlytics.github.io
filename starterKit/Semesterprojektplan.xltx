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3801"/>
  <workbookPr defaultThemeVersion="124226"/>
  <mc:AlternateContent xmlns:mc="http://schemas.openxmlformats.org/markup-compatibility/2006">
    <mc:Choice Requires="x15">
      <x15ac:absPath xmlns:x15ac="http://schemas.microsoft.com/office/spreadsheetml/2010/11/ac" url="U:\data_cpn\Documents\OTH\30_Lehre\20_Lehrmaterialien\"/>
    </mc:Choice>
  </mc:AlternateContent>
  <xr:revisionPtr revIDLastSave="0" documentId="13_ncr:1_{127116A8-EE42-4ED9-A2D5-9FD44B6EA7A5}" xr6:coauthVersionLast="46" xr6:coauthVersionMax="46" xr10:uidLastSave="{00000000-0000-0000-0000-000000000000}"/>
  <bookViews>
    <workbookView xWindow="-120" yWindow="-120" windowWidth="29040" windowHeight="15840" xr2:uid="{00000000-000D-0000-FFFF-FFFF00000000}"/>
  </bookViews>
  <sheets>
    <sheet name="Semesterprojektplan" sheetId="6" r:id="rId1"/>
    <sheet name="Feiertage_BY" sheetId="7" state="hidden" r:id="rId2"/>
  </sheets>
  <definedNames>
    <definedName name="g_feiertagsmatrix">Feiertage_BY!$E$3:$F$56</definedName>
    <definedName name="g_refdatum">Semesterprojektplan!$C$3</definedName>
    <definedName name="g_refjahr">Semesterprojektplan!$C$2</definedName>
    <definedName name="l_nextyear">Feiertage_BY!$B$4</definedName>
    <definedName name="l_nextyear_ostersonntag">Feiertage_BY!$C$4</definedName>
    <definedName name="l_refyear">Feiertage_BY!$B$3</definedName>
    <definedName name="l_refyear_ostersonntag">Feiertage_BY!$C$3</definedName>
  </definedNames>
  <calcPr calcId="181029"/>
</workbook>
</file>

<file path=xl/calcChain.xml><?xml version="1.0" encoding="utf-8"?>
<calcChain xmlns="http://schemas.openxmlformats.org/spreadsheetml/2006/main">
  <c r="C3" i="6" l="1"/>
  <c r="C7" i="6" s="1"/>
  <c r="C48" i="7"/>
  <c r="C47" i="7"/>
  <c r="C46" i="7"/>
  <c r="C45" i="7"/>
  <c r="C44" i="7"/>
  <c r="C43" i="7"/>
  <c r="C42" i="7"/>
  <c r="C40" i="7"/>
  <c r="C39" i="7"/>
  <c r="C38" i="7"/>
  <c r="C36" i="7"/>
  <c r="C35" i="7"/>
  <c r="C37" i="7"/>
  <c r="C34" i="7"/>
  <c r="C33" i="7"/>
  <c r="C32" i="7"/>
  <c r="C30" i="7"/>
  <c r="C31" i="7"/>
  <c r="C41" i="7"/>
  <c r="C29" i="7"/>
  <c r="C28" i="7"/>
  <c r="C27" i="7"/>
  <c r="C26" i="7"/>
  <c r="A39" i="6"/>
  <c r="A40" i="6"/>
  <c r="A41" i="6"/>
  <c r="A42" i="6"/>
  <c r="A43" i="6"/>
  <c r="A44" i="6"/>
  <c r="A45" i="6"/>
  <c r="A46" i="6"/>
  <c r="A47" i="6"/>
  <c r="A48" i="6"/>
  <c r="A49" i="6"/>
  <c r="A50" i="6"/>
  <c r="A51" i="6"/>
  <c r="A52" i="6"/>
  <c r="A53" i="6"/>
  <c r="A54" i="6"/>
  <c r="A55" i="6"/>
  <c r="A56" i="6"/>
  <c r="A57" i="6"/>
  <c r="A58" i="6"/>
  <c r="A59" i="6"/>
  <c r="A60" i="6"/>
  <c r="A61" i="6"/>
  <c r="A38" i="6"/>
  <c r="B3" i="7"/>
  <c r="B4" i="7" s="1"/>
  <c r="C4" i="7" s="1"/>
  <c r="C3" i="7" l="1"/>
  <c r="E52" i="7"/>
  <c r="G52" i="7" s="1"/>
  <c r="E53" i="7"/>
  <c r="G53" i="7" s="1"/>
  <c r="E55" i="7"/>
  <c r="G55" i="7" s="1"/>
  <c r="E51" i="7"/>
  <c r="E54" i="7"/>
  <c r="G54" i="7" s="1"/>
  <c r="E33" i="7"/>
  <c r="G33" i="7" s="1"/>
  <c r="E31" i="7"/>
  <c r="G31" i="7" s="1"/>
  <c r="E32" i="7"/>
  <c r="G32" i="7" s="1"/>
  <c r="E34" i="7"/>
  <c r="G34" i="7" s="1"/>
  <c r="E27" i="7"/>
  <c r="G27" i="7" s="1"/>
  <c r="E28" i="7"/>
  <c r="G28" i="7" s="1"/>
  <c r="E25" i="7"/>
  <c r="G25" i="7" s="1"/>
  <c r="E26" i="7"/>
  <c r="G26" i="7" s="1"/>
  <c r="E5" i="7"/>
  <c r="G5" i="7" s="1"/>
  <c r="E8" i="7"/>
  <c r="G8" i="7" s="1"/>
  <c r="E6" i="7"/>
  <c r="G6" i="7" s="1"/>
  <c r="E4" i="7"/>
  <c r="G4" i="7" s="1"/>
  <c r="E7" i="7"/>
  <c r="G7" i="7" s="1"/>
  <c r="E29" i="7"/>
  <c r="G29" i="7" s="1"/>
  <c r="G51" i="7"/>
  <c r="E56" i="7"/>
  <c r="G56" i="7" s="1"/>
  <c r="E22" i="7"/>
  <c r="G22" i="7" s="1"/>
  <c r="E49" i="7"/>
  <c r="G49" i="7" s="1"/>
  <c r="E45" i="7"/>
  <c r="G45" i="7" s="1"/>
  <c r="D7" i="6"/>
  <c r="E7" i="6" s="1"/>
  <c r="C6" i="6"/>
  <c r="C36" i="6"/>
  <c r="E37" i="7"/>
  <c r="G37" i="7" s="1"/>
  <c r="E38" i="7"/>
  <c r="G38" i="7" s="1"/>
  <c r="E41" i="7"/>
  <c r="G41" i="7" s="1"/>
  <c r="E43" i="7"/>
  <c r="G43" i="7" s="1"/>
  <c r="E3" i="7"/>
  <c r="G3" i="7" s="1"/>
  <c r="E13" i="7"/>
  <c r="G13" i="7" s="1"/>
  <c r="E20" i="7"/>
  <c r="G20" i="7" s="1"/>
  <c r="E21" i="7"/>
  <c r="G21" i="7" s="1"/>
  <c r="E23" i="7"/>
  <c r="G23" i="7" s="1"/>
  <c r="E24" i="7"/>
  <c r="G24" i="7" s="1"/>
  <c r="E30" i="7"/>
  <c r="G30" i="7" s="1"/>
  <c r="E35" i="7"/>
  <c r="G35" i="7" s="1"/>
  <c r="E40" i="7"/>
  <c r="G40" i="7" s="1"/>
  <c r="E47" i="7"/>
  <c r="G47" i="7" s="1"/>
  <c r="E48" i="7"/>
  <c r="G48" i="7" s="1"/>
  <c r="E50" i="7"/>
  <c r="G50" i="7" s="1"/>
  <c r="E44" i="7" l="1"/>
  <c r="G44" i="7" s="1"/>
  <c r="E39" i="7"/>
  <c r="G39" i="7" s="1"/>
  <c r="E36" i="7"/>
  <c r="G36" i="7" s="1"/>
  <c r="E42" i="7"/>
  <c r="G42" i="7" s="1"/>
  <c r="E46" i="7"/>
  <c r="G46" i="7" s="1"/>
  <c r="D36" i="6"/>
  <c r="C35" i="6"/>
  <c r="D6" i="6"/>
  <c r="E18" i="7"/>
  <c r="G18" i="7" s="1"/>
  <c r="E16" i="7"/>
  <c r="G16" i="7" s="1"/>
  <c r="E14" i="7"/>
  <c r="G14" i="7" s="1"/>
  <c r="E11" i="7"/>
  <c r="G11" i="7" s="1"/>
  <c r="E10" i="7"/>
  <c r="G10" i="7" s="1"/>
  <c r="F7" i="6"/>
  <c r="E6" i="6"/>
  <c r="E17" i="7" l="1"/>
  <c r="G17" i="7" s="1"/>
  <c r="E15" i="7"/>
  <c r="G15" i="7" s="1"/>
  <c r="E19" i="7"/>
  <c r="G19" i="7" s="1"/>
  <c r="E9" i="7"/>
  <c r="G9" i="7" s="1"/>
  <c r="E12" i="7"/>
  <c r="G12" i="7" s="1"/>
  <c r="D35" i="6"/>
  <c r="E36" i="6"/>
  <c r="G7" i="6"/>
  <c r="F6" i="6"/>
  <c r="C37" i="6" l="1"/>
  <c r="F8" i="6"/>
  <c r="C8" i="6"/>
  <c r="D37" i="6"/>
  <c r="D8" i="6"/>
  <c r="E8" i="6"/>
  <c r="F36" i="6"/>
  <c r="E35" i="6"/>
  <c r="E37" i="6" s="1"/>
  <c r="H7" i="6"/>
  <c r="G6" i="6"/>
  <c r="G8" i="6" s="1"/>
  <c r="G36" i="6" l="1"/>
  <c r="F35" i="6"/>
  <c r="F37" i="6" s="1"/>
  <c r="I7" i="6"/>
  <c r="H6" i="6"/>
  <c r="H8" i="6" s="1"/>
  <c r="H36" i="6" l="1"/>
  <c r="G35" i="6"/>
  <c r="G37" i="6" s="1"/>
  <c r="J7" i="6"/>
  <c r="I6" i="6"/>
  <c r="I8" i="6" s="1"/>
  <c r="I36" i="6" l="1"/>
  <c r="H35" i="6"/>
  <c r="H37" i="6" s="1"/>
  <c r="K7" i="6"/>
  <c r="J6" i="6"/>
  <c r="J8" i="6" s="1"/>
  <c r="J36" i="6" l="1"/>
  <c r="I35" i="6"/>
  <c r="I37" i="6" s="1"/>
  <c r="L7" i="6"/>
  <c r="K6" i="6"/>
  <c r="K8" i="6" s="1"/>
  <c r="K36" i="6" l="1"/>
  <c r="J35" i="6"/>
  <c r="J37" i="6" s="1"/>
  <c r="M7" i="6"/>
  <c r="L6" i="6"/>
  <c r="L8" i="6" s="1"/>
  <c r="L36" i="6" l="1"/>
  <c r="K35" i="6"/>
  <c r="K37" i="6" s="1"/>
  <c r="N7" i="6"/>
  <c r="M6" i="6"/>
  <c r="M8" i="6" s="1"/>
  <c r="M36" i="6" l="1"/>
  <c r="L35" i="6"/>
  <c r="L37" i="6" s="1"/>
  <c r="O7" i="6"/>
  <c r="N6" i="6"/>
  <c r="N8" i="6" s="1"/>
  <c r="N36" i="6" l="1"/>
  <c r="M35" i="6"/>
  <c r="M37" i="6" s="1"/>
  <c r="P7" i="6"/>
  <c r="O6" i="6"/>
  <c r="O8" i="6" s="1"/>
  <c r="O36" i="6" l="1"/>
  <c r="N35" i="6"/>
  <c r="N37" i="6" s="1"/>
  <c r="Q7" i="6"/>
  <c r="P6" i="6"/>
  <c r="P8" i="6" s="1"/>
  <c r="P36" i="6" l="1"/>
  <c r="O35" i="6"/>
  <c r="O37" i="6" s="1"/>
  <c r="R7" i="6"/>
  <c r="Q6" i="6"/>
  <c r="Q8" i="6" s="1"/>
  <c r="M5" i="6"/>
  <c r="Q36" i="6" l="1"/>
  <c r="P35" i="6"/>
  <c r="P37" i="6" s="1"/>
  <c r="S7" i="6"/>
  <c r="R6" i="6"/>
  <c r="R8" i="6" s="1"/>
  <c r="M34" i="6" l="1"/>
  <c r="Q35" i="6"/>
  <c r="Q37" i="6" s="1"/>
  <c r="R36" i="6"/>
  <c r="T7" i="6"/>
  <c r="S6" i="6"/>
  <c r="S8" i="6" s="1"/>
  <c r="S36" i="6" l="1"/>
  <c r="R35" i="6"/>
  <c r="R37" i="6" s="1"/>
  <c r="U7" i="6"/>
  <c r="T6" i="6"/>
  <c r="T8" i="6" s="1"/>
  <c r="S35" i="6" l="1"/>
  <c r="S37" i="6" s="1"/>
  <c r="T36" i="6"/>
  <c r="V7" i="6"/>
  <c r="U6" i="6"/>
  <c r="U8" i="6" s="1"/>
  <c r="U36" i="6" l="1"/>
  <c r="T35" i="6"/>
  <c r="T37" i="6" s="1"/>
  <c r="W7" i="6"/>
  <c r="V6" i="6"/>
  <c r="V8" i="6" s="1"/>
  <c r="V36" i="6" l="1"/>
  <c r="U35" i="6"/>
  <c r="U37" i="6" s="1"/>
  <c r="X7" i="6"/>
  <c r="W6" i="6"/>
  <c r="W8" i="6" s="1"/>
  <c r="W36" i="6" l="1"/>
  <c r="V35" i="6"/>
  <c r="V37" i="6" s="1"/>
  <c r="Y7" i="6"/>
  <c r="X6" i="6"/>
  <c r="X8" i="6" s="1"/>
  <c r="X36" i="6" l="1"/>
  <c r="W35" i="6"/>
  <c r="W37" i="6" s="1"/>
  <c r="Z7" i="6"/>
  <c r="Y6" i="6"/>
  <c r="Y8" i="6" s="1"/>
  <c r="Y36" i="6" l="1"/>
  <c r="X35" i="6"/>
  <c r="X37" i="6" s="1"/>
  <c r="AA7" i="6"/>
  <c r="Z6" i="6"/>
  <c r="Z8" i="6" s="1"/>
  <c r="Z36" i="6" l="1"/>
  <c r="Y35" i="6"/>
  <c r="Y37" i="6" s="1"/>
  <c r="AB7" i="6"/>
  <c r="AA6" i="6"/>
  <c r="AA8" i="6" s="1"/>
  <c r="AA36" i="6" l="1"/>
  <c r="Z35" i="6"/>
  <c r="Z37" i="6" s="1"/>
  <c r="AC7" i="6"/>
  <c r="AB6" i="6"/>
  <c r="AB8" i="6" s="1"/>
  <c r="AB36" i="6" l="1"/>
  <c r="AA35" i="6"/>
  <c r="AA37" i="6" s="1"/>
  <c r="AD7" i="6"/>
  <c r="AC6" i="6"/>
  <c r="AC8" i="6" s="1"/>
  <c r="AC36" i="6" l="1"/>
  <c r="AB35" i="6"/>
  <c r="AB37" i="6" s="1"/>
  <c r="AE7" i="6"/>
  <c r="AD6" i="6"/>
  <c r="AD8" i="6" s="1"/>
  <c r="AD36" i="6" l="1"/>
  <c r="AC35" i="6"/>
  <c r="AC37" i="6" s="1"/>
  <c r="AF7" i="6"/>
  <c r="AE6" i="6"/>
  <c r="AE8" i="6" s="1"/>
  <c r="AE36" i="6" l="1"/>
  <c r="AD35" i="6"/>
  <c r="AD37" i="6" s="1"/>
  <c r="AG7" i="6"/>
  <c r="AF6" i="6"/>
  <c r="AF8" i="6" s="1"/>
  <c r="AF36" i="6" l="1"/>
  <c r="AE35" i="6"/>
  <c r="AE37" i="6" s="1"/>
  <c r="AH7" i="6"/>
  <c r="AG6" i="6"/>
  <c r="AG8" i="6" s="1"/>
  <c r="AG36" i="6" l="1"/>
  <c r="AF35" i="6"/>
  <c r="AF37" i="6" s="1"/>
  <c r="AI7" i="6"/>
  <c r="AH6" i="6"/>
  <c r="AH8" i="6" s="1"/>
  <c r="AH36" i="6" l="1"/>
  <c r="AG35" i="6"/>
  <c r="AG37" i="6" s="1"/>
  <c r="AJ7" i="6"/>
  <c r="AI6" i="6"/>
  <c r="AI8" i="6" s="1"/>
  <c r="AI36" i="6" l="1"/>
  <c r="AH35" i="6"/>
  <c r="AH37" i="6" s="1"/>
  <c r="AK7" i="6"/>
  <c r="AJ6" i="6"/>
  <c r="AJ8" i="6" s="1"/>
  <c r="AJ36" i="6" l="1"/>
  <c r="AI35" i="6"/>
  <c r="AI37" i="6" s="1"/>
  <c r="AL7" i="6"/>
  <c r="AK6" i="6"/>
  <c r="AK8" i="6" s="1"/>
  <c r="AK36" i="6" l="1"/>
  <c r="AJ35" i="6"/>
  <c r="AJ37" i="6" s="1"/>
  <c r="AM7" i="6"/>
  <c r="AL6" i="6"/>
  <c r="AL8" i="6" s="1"/>
  <c r="AL36" i="6" l="1"/>
  <c r="AK35" i="6"/>
  <c r="AK37" i="6" s="1"/>
  <c r="AN7" i="6"/>
  <c r="AM6" i="6"/>
  <c r="AM8" i="6" s="1"/>
  <c r="AM36" i="6" l="1"/>
  <c r="AL35" i="6"/>
  <c r="AL37" i="6" s="1"/>
  <c r="AO7" i="6"/>
  <c r="AN6" i="6"/>
  <c r="AN8" i="6" s="1"/>
  <c r="AM35" i="6" l="1"/>
  <c r="AM37" i="6" s="1"/>
  <c r="AN36" i="6"/>
  <c r="AP7" i="6"/>
  <c r="AO6" i="6"/>
  <c r="AO8" i="6" s="1"/>
  <c r="AO36" i="6" l="1"/>
  <c r="AN35" i="6"/>
  <c r="AN37" i="6" s="1"/>
  <c r="AQ7" i="6"/>
  <c r="AP6" i="6"/>
  <c r="AP8" i="6" s="1"/>
  <c r="AO35" i="6" l="1"/>
  <c r="AO37" i="6" s="1"/>
  <c r="AP36" i="6"/>
  <c r="AR7" i="6"/>
  <c r="AQ6" i="6"/>
  <c r="AQ8" i="6" s="1"/>
  <c r="AQ36" i="6" l="1"/>
  <c r="AP35" i="6"/>
  <c r="AP37" i="6" s="1"/>
  <c r="AS7" i="6"/>
  <c r="AR6" i="6"/>
  <c r="AR8" i="6" s="1"/>
  <c r="AQ35" i="6" l="1"/>
  <c r="AQ37" i="6" s="1"/>
  <c r="AR36" i="6"/>
  <c r="AT7" i="6"/>
  <c r="AS6" i="6"/>
  <c r="AS8" i="6" s="1"/>
  <c r="AS36" i="6" l="1"/>
  <c r="AR35" i="6"/>
  <c r="AR37" i="6" s="1"/>
  <c r="AU7" i="6"/>
  <c r="AT6" i="6"/>
  <c r="AT8" i="6" s="1"/>
  <c r="AS35" i="6" l="1"/>
  <c r="AS37" i="6" s="1"/>
  <c r="AT36" i="6"/>
  <c r="AV7" i="6"/>
  <c r="AU6" i="6"/>
  <c r="AU8" i="6" s="1"/>
  <c r="AQ5" i="6"/>
  <c r="AU36" i="6" l="1"/>
  <c r="AT35" i="6"/>
  <c r="AT37" i="6" s="1"/>
  <c r="AW7" i="6"/>
  <c r="AV6" i="6"/>
  <c r="AV8" i="6" s="1"/>
  <c r="AU35" i="6" l="1"/>
  <c r="AU37" i="6" s="1"/>
  <c r="AV36" i="6"/>
  <c r="AX7" i="6"/>
  <c r="AW6" i="6"/>
  <c r="AW8" i="6" s="1"/>
  <c r="AW36" i="6" l="1"/>
  <c r="AV35" i="6"/>
  <c r="AV37" i="6" s="1"/>
  <c r="AR34" i="6"/>
  <c r="AY7" i="6"/>
  <c r="AX6" i="6"/>
  <c r="AX8" i="6" s="1"/>
  <c r="AX36" i="6" l="1"/>
  <c r="AW35" i="6"/>
  <c r="AW37" i="6" s="1"/>
  <c r="AZ7" i="6"/>
  <c r="AY6" i="6"/>
  <c r="AY8" i="6" s="1"/>
  <c r="AX35" i="6" l="1"/>
  <c r="AX37" i="6" s="1"/>
  <c r="AY36" i="6"/>
  <c r="BA7" i="6"/>
  <c r="AZ6" i="6"/>
  <c r="AZ8" i="6" s="1"/>
  <c r="AZ36" i="6" l="1"/>
  <c r="AY35" i="6"/>
  <c r="AY37" i="6" s="1"/>
  <c r="BB7" i="6"/>
  <c r="BA6" i="6"/>
  <c r="BA8" i="6" s="1"/>
  <c r="BA36" i="6" l="1"/>
  <c r="AZ35" i="6"/>
  <c r="AZ37" i="6" s="1"/>
  <c r="BC7" i="6"/>
  <c r="BB6" i="6"/>
  <c r="BB8" i="6" s="1"/>
  <c r="BB36" i="6" l="1"/>
  <c r="BA35" i="6"/>
  <c r="BA37" i="6" s="1"/>
  <c r="BD7" i="6"/>
  <c r="BC6" i="6"/>
  <c r="BC8" i="6" s="1"/>
  <c r="BC36" i="6" l="1"/>
  <c r="BB35" i="6"/>
  <c r="BB37" i="6" s="1"/>
  <c r="BE7" i="6"/>
  <c r="BD6" i="6"/>
  <c r="BD8" i="6" s="1"/>
  <c r="BD36" i="6" l="1"/>
  <c r="BC35" i="6"/>
  <c r="BC37" i="6" s="1"/>
  <c r="BF7" i="6"/>
  <c r="BE6" i="6"/>
  <c r="BE8" i="6" s="1"/>
  <c r="BE36" i="6" l="1"/>
  <c r="BD35" i="6"/>
  <c r="BD37" i="6" s="1"/>
  <c r="BG7" i="6"/>
  <c r="BF6" i="6"/>
  <c r="BF8" i="6" s="1"/>
  <c r="BF36" i="6" l="1"/>
  <c r="BE35" i="6"/>
  <c r="BE37" i="6" s="1"/>
  <c r="BH7" i="6"/>
  <c r="BG6" i="6"/>
  <c r="BG8" i="6" s="1"/>
  <c r="BG36" i="6" l="1"/>
  <c r="BF35" i="6"/>
  <c r="BF37" i="6" s="1"/>
  <c r="BI7" i="6"/>
  <c r="BH6" i="6"/>
  <c r="BH8" i="6" s="1"/>
  <c r="BH36" i="6" l="1"/>
  <c r="BG35" i="6"/>
  <c r="BG37" i="6" s="1"/>
  <c r="BJ7" i="6"/>
  <c r="BI6" i="6"/>
  <c r="BI8" i="6" s="1"/>
  <c r="BH35" i="6" l="1"/>
  <c r="BH37" i="6" s="1"/>
  <c r="BI36" i="6"/>
  <c r="BK7" i="6"/>
  <c r="BJ6" i="6"/>
  <c r="BJ8" i="6" s="1"/>
  <c r="BJ36" i="6" l="1"/>
  <c r="BI35" i="6"/>
  <c r="BI37" i="6" s="1"/>
  <c r="BL7" i="6"/>
  <c r="BK6" i="6"/>
  <c r="BK8" i="6" s="1"/>
  <c r="BK36" i="6" l="1"/>
  <c r="BJ35" i="6"/>
  <c r="BJ37" i="6" s="1"/>
  <c r="BM7" i="6"/>
  <c r="BL6" i="6"/>
  <c r="BL8" i="6" s="1"/>
  <c r="BL36" i="6" l="1"/>
  <c r="BK35" i="6"/>
  <c r="BK37" i="6" s="1"/>
  <c r="BN7" i="6"/>
  <c r="BM6" i="6"/>
  <c r="BM8" i="6" s="1"/>
  <c r="BM36" i="6" l="1"/>
  <c r="BL35" i="6"/>
  <c r="BL37" i="6" s="1"/>
  <c r="BO7" i="6"/>
  <c r="BN6" i="6"/>
  <c r="BN8" i="6" s="1"/>
  <c r="BN36" i="6" l="1"/>
  <c r="BM35" i="6"/>
  <c r="BM37" i="6" s="1"/>
  <c r="BP7" i="6"/>
  <c r="BO6" i="6"/>
  <c r="BO8" i="6" s="1"/>
  <c r="BO36" i="6" l="1"/>
  <c r="BN35" i="6"/>
  <c r="BN37" i="6" s="1"/>
  <c r="BQ7" i="6"/>
  <c r="BP6" i="6"/>
  <c r="BP8" i="6" s="1"/>
  <c r="BP36" i="6" l="1"/>
  <c r="BO35" i="6"/>
  <c r="BO37" i="6" s="1"/>
  <c r="BR7" i="6"/>
  <c r="BQ6" i="6"/>
  <c r="BQ8" i="6" s="1"/>
  <c r="BQ36" i="6" l="1"/>
  <c r="BP35" i="6"/>
  <c r="BP37" i="6" s="1"/>
  <c r="BS7" i="6"/>
  <c r="BR6" i="6"/>
  <c r="BR8" i="6" s="1"/>
  <c r="BR36" i="6" l="1"/>
  <c r="BQ35" i="6"/>
  <c r="BQ37" i="6" s="1"/>
  <c r="BT7" i="6"/>
  <c r="BS6" i="6"/>
  <c r="BS8" i="6" s="1"/>
  <c r="BS36" i="6" l="1"/>
  <c r="BR35" i="6"/>
  <c r="BR37" i="6" s="1"/>
  <c r="BU7" i="6"/>
  <c r="BT6" i="6"/>
  <c r="BT8" i="6" s="1"/>
  <c r="BT36" i="6" l="1"/>
  <c r="BS35" i="6"/>
  <c r="BS37" i="6" s="1"/>
  <c r="BV7" i="6"/>
  <c r="BU6" i="6"/>
  <c r="BU8" i="6" s="1"/>
  <c r="BU36" i="6" l="1"/>
  <c r="BT35" i="6"/>
  <c r="BT37" i="6" s="1"/>
  <c r="BW7" i="6"/>
  <c r="BV6" i="6"/>
  <c r="BV8" i="6" s="1"/>
  <c r="BV36" i="6" l="1"/>
  <c r="BU35" i="6"/>
  <c r="BU37" i="6" s="1"/>
  <c r="BX7" i="6"/>
  <c r="BW6" i="6"/>
  <c r="BW8" i="6" s="1"/>
  <c r="BW36" i="6" l="1"/>
  <c r="BV35" i="6"/>
  <c r="BV37" i="6" s="1"/>
  <c r="BY7" i="6"/>
  <c r="BX6" i="6"/>
  <c r="BX8" i="6" s="1"/>
  <c r="BX36" i="6" l="1"/>
  <c r="BW35" i="6"/>
  <c r="BW37" i="6" s="1"/>
  <c r="BZ7" i="6"/>
  <c r="BY6" i="6"/>
  <c r="BY8" i="6" s="1"/>
  <c r="BY36" i="6" l="1"/>
  <c r="BX35" i="6"/>
  <c r="BX37" i="6" s="1"/>
  <c r="CA7" i="6"/>
  <c r="BZ6" i="6"/>
  <c r="BZ8" i="6" s="1"/>
  <c r="BV5" i="6"/>
  <c r="BZ36" i="6" l="1"/>
  <c r="BY35" i="6"/>
  <c r="BY37" i="6" s="1"/>
  <c r="CB7" i="6"/>
  <c r="CA6" i="6"/>
  <c r="CA8" i="6" s="1"/>
  <c r="CA36" i="6" l="1"/>
  <c r="BZ35" i="6"/>
  <c r="BZ37" i="6" s="1"/>
  <c r="CC7" i="6"/>
  <c r="CB6" i="6"/>
  <c r="CB8" i="6" s="1"/>
  <c r="BW34" i="6" l="1"/>
  <c r="CB36" i="6"/>
  <c r="CA35" i="6"/>
  <c r="CA37" i="6" s="1"/>
  <c r="CD7" i="6"/>
  <c r="CC6" i="6"/>
  <c r="CC8" i="6" s="1"/>
  <c r="CC36" i="6" l="1"/>
  <c r="CB35" i="6"/>
  <c r="CB37" i="6" s="1"/>
  <c r="CE7" i="6"/>
  <c r="CD6" i="6"/>
  <c r="CD8" i="6" s="1"/>
  <c r="CC35" i="6" l="1"/>
  <c r="CC37" i="6" s="1"/>
  <c r="CD36" i="6"/>
  <c r="CF7" i="6"/>
  <c r="CE6" i="6"/>
  <c r="CE8" i="6" s="1"/>
  <c r="CE36" i="6" l="1"/>
  <c r="CD35" i="6"/>
  <c r="CD37" i="6" s="1"/>
  <c r="CG7" i="6"/>
  <c r="CF6" i="6"/>
  <c r="CF8" i="6" s="1"/>
  <c r="CF36" i="6" l="1"/>
  <c r="CE35" i="6"/>
  <c r="CE37" i="6" s="1"/>
  <c r="CH7" i="6"/>
  <c r="CG6" i="6"/>
  <c r="CG8" i="6" s="1"/>
  <c r="CG36" i="6" l="1"/>
  <c r="CF35" i="6"/>
  <c r="CF37" i="6" s="1"/>
  <c r="CI7" i="6"/>
  <c r="CH6" i="6"/>
  <c r="CH8" i="6" s="1"/>
  <c r="CH36" i="6" l="1"/>
  <c r="CG35" i="6"/>
  <c r="CG37" i="6" s="1"/>
  <c r="CJ7" i="6"/>
  <c r="CI6" i="6"/>
  <c r="CI8" i="6" s="1"/>
  <c r="CI36" i="6" l="1"/>
  <c r="CH35" i="6"/>
  <c r="CH37" i="6" s="1"/>
  <c r="CK7" i="6"/>
  <c r="CJ6" i="6"/>
  <c r="CJ8" i="6" s="1"/>
  <c r="CJ36" i="6" l="1"/>
  <c r="CI35" i="6"/>
  <c r="CI37" i="6" s="1"/>
  <c r="CL7" i="6"/>
  <c r="CK6" i="6"/>
  <c r="CK8" i="6" s="1"/>
  <c r="CK36" i="6" l="1"/>
  <c r="CJ35" i="6"/>
  <c r="CJ37" i="6" s="1"/>
  <c r="CM7" i="6"/>
  <c r="CL6" i="6"/>
  <c r="CL8" i="6" s="1"/>
  <c r="CL36" i="6" l="1"/>
  <c r="CK35" i="6"/>
  <c r="CK37" i="6" s="1"/>
  <c r="CN7" i="6"/>
  <c r="CM6" i="6"/>
  <c r="CM8" i="6" s="1"/>
  <c r="CM36" i="6" l="1"/>
  <c r="CL35" i="6"/>
  <c r="CL37" i="6" s="1"/>
  <c r="CO7" i="6"/>
  <c r="CN6" i="6"/>
  <c r="CN8" i="6" s="1"/>
  <c r="CN36" i="6" l="1"/>
  <c r="CM35" i="6"/>
  <c r="CM37" i="6" s="1"/>
  <c r="CP7" i="6"/>
  <c r="CO6" i="6"/>
  <c r="CO8" i="6" s="1"/>
  <c r="CO36" i="6" l="1"/>
  <c r="CN35" i="6"/>
  <c r="CN37" i="6" s="1"/>
  <c r="CP6" i="6"/>
  <c r="CP8" i="6" s="1"/>
  <c r="CP36" i="6" l="1"/>
  <c r="CP35" i="6" s="1"/>
  <c r="CP37" i="6" s="1"/>
  <c r="CO35" i="6"/>
  <c r="CO37" i="6" s="1"/>
</calcChain>
</file>

<file path=xl/sharedStrings.xml><?xml version="1.0" encoding="utf-8"?>
<sst xmlns="http://schemas.openxmlformats.org/spreadsheetml/2006/main" count="69" uniqueCount="27">
  <si>
    <t>Wochentag</t>
  </si>
  <si>
    <t>Tag im Monat</t>
  </si>
  <si>
    <t>Jahr</t>
  </si>
  <si>
    <t>Term</t>
  </si>
  <si>
    <t>Veranstaltung</t>
  </si>
  <si>
    <t>Neujahr</t>
  </si>
  <si>
    <t>Heilige Drei Könige</t>
  </si>
  <si>
    <t>Karfreitag</t>
  </si>
  <si>
    <t>Ostermontag</t>
  </si>
  <si>
    <t>Maifeiertag</t>
  </si>
  <si>
    <t>Christi Himmelfahrt</t>
  </si>
  <si>
    <t>Pfingstmontag</t>
  </si>
  <si>
    <t>Fronleichnam</t>
  </si>
  <si>
    <t>Allerheiligen</t>
  </si>
  <si>
    <t>1. Weihnachtstag</t>
  </si>
  <si>
    <t>2. Weihnachtstag</t>
  </si>
  <si>
    <t>Feiertagsmatrix [BY]</t>
  </si>
  <si>
    <t>Ostersonntagsmatrix</t>
  </si>
  <si>
    <t>Ostersonntage</t>
  </si>
  <si>
    <t>Tag der dt. Einheit</t>
  </si>
  <si>
    <t>Kalenderwoche</t>
  </si>
  <si>
    <t>MMMMMMMMMMMMMMM</t>
  </si>
  <si>
    <t>SS</t>
  </si>
  <si>
    <t>VLfrei</t>
  </si>
  <si>
    <t>Heiligabend</t>
  </si>
  <si>
    <t>Silvester</t>
  </si>
  <si>
    <t xml:space="preserve"> 16.04.2017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</si>
</sst>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ddd"/>
    <numFmt numFmtId="165" formatCode="dd"/>
    <numFmt numFmtId="166" formatCode="mmmm\ yyyy"/>
    <numFmt numFmtId="167" formatCode="d/m/yyyy;@"/>
  </numFmts>
  <fonts count="9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4"/>
      <color theme="0" tint="-0.499984740745262"/>
      <name val="Calibri"/>
      <family val="2"/>
      <scheme val="minor"/>
    </font>
    <font>
      <sz val="14"/>
      <color theme="0" tint="-0.499984740745262"/>
      <name val="Arial"/>
      <family val="2"/>
    </font>
    <font>
      <sz val="1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24"/>
      <color theme="1"/>
      <name val="Calibri"/>
      <family val="2"/>
      <scheme val="minor"/>
    </font>
    <font>
      <sz val="14"/>
      <color theme="0"/>
      <name val="Calibri"/>
      <family val="2"/>
      <scheme val="minor"/>
    </font>
  </fonts>
  <fills count="15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FF0000"/>
        <bgColor indexed="64"/>
      </patternFill>
    </fill>
  </fills>
  <borders count="2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theme="0" tint="-0.499984740745262"/>
      </left>
      <right/>
      <top style="thin">
        <color indexed="64"/>
      </top>
      <bottom style="thin">
        <color theme="0" tint="-0.499984740745262"/>
      </bottom>
      <diagonal/>
    </border>
    <border>
      <left/>
      <right/>
      <top style="thin">
        <color indexed="64"/>
      </top>
      <bottom style="thin">
        <color theme="0" tint="-0.499984740745262"/>
      </bottom>
      <diagonal/>
    </border>
    <border>
      <left/>
      <right style="thin">
        <color theme="0" tint="-0.499984740745262"/>
      </right>
      <top style="thin">
        <color indexed="64"/>
      </top>
      <bottom style="thin">
        <color theme="0" tint="-0.499984740745262"/>
      </bottom>
      <diagonal/>
    </border>
  </borders>
  <cellStyleXfs count="1">
    <xf numFmtId="0" fontId="0" fillId="0" borderId="0"/>
  </cellStyleXfs>
  <cellXfs count="57">
    <xf numFmtId="0" fontId="0" fillId="0" borderId="0" xfId="0"/>
    <xf numFmtId="0" fontId="2" fillId="0" borderId="0" xfId="0" applyFont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165" fontId="2" fillId="0" borderId="1" xfId="0" applyNumberFormat="1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/>
    </xf>
    <xf numFmtId="164" fontId="2" fillId="0" borderId="1" xfId="0" applyNumberFormat="1" applyFont="1" applyBorder="1" applyAlignment="1">
      <alignment horizontal="center" vertical="center"/>
    </xf>
    <xf numFmtId="165" fontId="2" fillId="0" borderId="1" xfId="0" applyNumberFormat="1" applyFont="1" applyFill="1" applyBorder="1" applyAlignment="1">
      <alignment horizontal="center" vertical="center"/>
    </xf>
    <xf numFmtId="0" fontId="3" fillId="0" borderId="3" xfId="0" applyFont="1" applyBorder="1" applyAlignment="1">
      <alignment horizontal="right" vertical="center"/>
    </xf>
    <xf numFmtId="0" fontId="4" fillId="0" borderId="3" xfId="0" applyFont="1" applyBorder="1" applyAlignment="1">
      <alignment horizontal="right" vertical="center"/>
    </xf>
    <xf numFmtId="0" fontId="2" fillId="0" borderId="4" xfId="0" applyFont="1" applyBorder="1" applyAlignment="1">
      <alignment horizontal="left" vertical="center"/>
    </xf>
    <xf numFmtId="0" fontId="1" fillId="0" borderId="0" xfId="0" applyFont="1" applyBorder="1" applyAlignment="1">
      <alignment horizontal="center" vertical="center"/>
    </xf>
    <xf numFmtId="0" fontId="2" fillId="0" borderId="5" xfId="0" applyFont="1" applyFill="1" applyBorder="1" applyAlignment="1">
      <alignment horizontal="center" vertical="center"/>
    </xf>
    <xf numFmtId="0" fontId="2" fillId="0" borderId="5" xfId="0" applyFont="1" applyBorder="1" applyAlignment="1">
      <alignment horizontal="center" vertical="center"/>
    </xf>
    <xf numFmtId="164" fontId="2" fillId="0" borderId="1" xfId="0" applyNumberFormat="1" applyFont="1" applyFill="1" applyBorder="1" applyAlignment="1">
      <alignment horizontal="center" vertical="center"/>
    </xf>
    <xf numFmtId="0" fontId="2" fillId="0" borderId="3" xfId="0" applyFont="1" applyBorder="1" applyAlignment="1">
      <alignment horizontal="center" vertical="center"/>
    </xf>
    <xf numFmtId="167" fontId="3" fillId="0" borderId="0" xfId="0" applyNumberFormat="1" applyFont="1" applyBorder="1" applyAlignment="1">
      <alignment horizontal="center" vertical="center"/>
    </xf>
    <xf numFmtId="14" fontId="0" fillId="0" borderId="0" xfId="0" applyNumberFormat="1"/>
    <xf numFmtId="14" fontId="0" fillId="7" borderId="0" xfId="0" applyNumberFormat="1" applyFill="1" applyBorder="1"/>
    <xf numFmtId="0" fontId="0" fillId="0" borderId="0" xfId="0" applyBorder="1"/>
    <xf numFmtId="164" fontId="0" fillId="0" borderId="0" xfId="0" applyNumberFormat="1" applyBorder="1"/>
    <xf numFmtId="14" fontId="0" fillId="9" borderId="0" xfId="0" applyNumberFormat="1" applyFill="1" applyBorder="1"/>
    <xf numFmtId="14" fontId="0" fillId="10" borderId="0" xfId="0" applyNumberFormat="1" applyFill="1" applyBorder="1"/>
    <xf numFmtId="14" fontId="0" fillId="11" borderId="0" xfId="0" applyNumberFormat="1" applyFill="1" applyBorder="1"/>
    <xf numFmtId="0" fontId="2" fillId="12" borderId="1" xfId="0" applyFont="1" applyFill="1" applyBorder="1" applyAlignment="1">
      <alignment horizontal="center" vertical="center"/>
    </xf>
    <xf numFmtId="0" fontId="2" fillId="8" borderId="1" xfId="0" applyFont="1" applyFill="1" applyBorder="1" applyAlignment="1">
      <alignment horizontal="center" vertical="center"/>
    </xf>
    <xf numFmtId="0" fontId="2" fillId="13" borderId="1" xfId="0" applyFont="1" applyFill="1" applyBorder="1" applyAlignment="1">
      <alignment horizontal="center" vertical="center"/>
    </xf>
    <xf numFmtId="0" fontId="6" fillId="0" borderId="1" xfId="0" applyNumberFormat="1" applyFont="1" applyBorder="1" applyAlignment="1" applyProtection="1">
      <alignment horizontal="center" vertical="top" textRotation="180" wrapText="1" shrinkToFit="1"/>
    </xf>
    <xf numFmtId="0" fontId="6" fillId="0" borderId="1" xfId="0" applyFont="1" applyBorder="1" applyAlignment="1">
      <alignment horizontal="center" vertical="top" textRotation="180" wrapText="1"/>
    </xf>
    <xf numFmtId="0" fontId="2" fillId="14" borderId="1" xfId="0" applyFont="1" applyFill="1" applyBorder="1" applyAlignment="1">
      <alignment horizontal="center" vertical="center"/>
    </xf>
    <xf numFmtId="0" fontId="2" fillId="0" borderId="1" xfId="0" applyFont="1" applyBorder="1" applyAlignment="1">
      <alignment horizontal="left" vertical="center"/>
    </xf>
    <xf numFmtId="0" fontId="8" fillId="0" borderId="3" xfId="0" applyFont="1" applyBorder="1" applyAlignment="1">
      <alignment horizontal="center" vertical="center"/>
    </xf>
    <xf numFmtId="0" fontId="3" fillId="0" borderId="2" xfId="0" applyFont="1" applyBorder="1" applyAlignment="1">
      <alignment horizontal="right" vertical="center"/>
    </xf>
    <xf numFmtId="0" fontId="0" fillId="0" borderId="0" xfId="0" applyFill="1" applyBorder="1"/>
    <xf numFmtId="0" fontId="1" fillId="0" borderId="1" xfId="0" applyFont="1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4" xfId="0" applyFont="1" applyBorder="1" applyAlignment="1">
      <alignment horizontal="center" vertical="center"/>
    </xf>
    <xf numFmtId="0" fontId="1" fillId="0" borderId="13" xfId="0" applyFont="1" applyBorder="1" applyAlignment="1">
      <alignment horizontal="center" vertical="center"/>
    </xf>
    <xf numFmtId="166" fontId="1" fillId="0" borderId="0" xfId="0" applyNumberFormat="1" applyFont="1" applyAlignment="1">
      <alignment horizontal="center" vertical="center"/>
    </xf>
    <xf numFmtId="167" fontId="3" fillId="0" borderId="18" xfId="0" applyNumberFormat="1" applyFont="1" applyBorder="1" applyAlignment="1">
      <alignment horizontal="center" vertical="center"/>
    </xf>
    <xf numFmtId="167" fontId="3" fillId="0" borderId="19" xfId="0" applyNumberFormat="1" applyFont="1" applyBorder="1" applyAlignment="1">
      <alignment horizontal="center" vertical="center"/>
    </xf>
    <xf numFmtId="167" fontId="3" fillId="0" borderId="20" xfId="0" applyNumberFormat="1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7" fillId="0" borderId="16" xfId="0" applyFont="1" applyBorder="1" applyAlignment="1">
      <alignment horizontal="center" vertical="center"/>
    </xf>
    <xf numFmtId="0" fontId="7" fillId="0" borderId="17" xfId="0" applyFont="1" applyBorder="1" applyAlignment="1">
      <alignment horizontal="center" vertical="center"/>
    </xf>
    <xf numFmtId="0" fontId="2" fillId="0" borderId="6" xfId="0" applyFont="1" applyBorder="1" applyAlignment="1">
      <alignment horizontal="center" vertical="center"/>
    </xf>
    <xf numFmtId="0" fontId="2" fillId="0" borderId="10" xfId="0" applyFont="1" applyBorder="1" applyAlignment="1">
      <alignment horizontal="center" vertical="center"/>
    </xf>
    <xf numFmtId="0" fontId="2" fillId="0" borderId="7" xfId="0" applyFont="1" applyBorder="1" applyAlignment="1">
      <alignment horizontal="center" vertical="center"/>
    </xf>
    <xf numFmtId="0" fontId="7" fillId="0" borderId="8" xfId="0" applyFont="1" applyBorder="1" applyAlignment="1">
      <alignment horizontal="center" vertical="center"/>
    </xf>
    <xf numFmtId="0" fontId="7" fillId="0" borderId="11" xfId="0" applyFont="1" applyBorder="1" applyAlignment="1">
      <alignment horizontal="center" vertical="center"/>
    </xf>
    <xf numFmtId="0" fontId="7" fillId="0" borderId="9" xfId="0" applyFont="1" applyBorder="1" applyAlignment="1">
      <alignment horizontal="center" vertical="center"/>
    </xf>
    <xf numFmtId="0" fontId="0" fillId="6" borderId="0" xfId="0" applyFill="1" applyAlignment="1">
      <alignment horizontal="center"/>
    </xf>
    <xf numFmtId="0" fontId="5" fillId="6" borderId="0" xfId="0" applyFont="1" applyFill="1" applyAlignment="1">
      <alignment horizontal="center"/>
    </xf>
  </cellXfs>
  <cellStyles count="1">
    <cellStyle name="Standard" xfId="0" builtinId="0"/>
  </cellStyles>
  <dxfs count="12"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59996337778862885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indexed="22"/>
        </patternFill>
      </fill>
    </dxf>
    <dxf>
      <fill>
        <patternFill>
          <bgColor theme="5" tint="0.59996337778862885"/>
        </patternFill>
      </fill>
    </dxf>
    <dxf>
      <fill>
        <patternFill>
          <bgColor theme="5" tint="0.59996337778862885"/>
        </patternFill>
      </fill>
    </dxf>
    <dxf>
      <fill>
        <patternFill>
          <bgColor indexed="2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pageSetUpPr fitToPage="1"/>
  </sheetPr>
  <dimension ref="A1:CU61"/>
  <sheetViews>
    <sheetView tabSelected="1" zoomScale="35" zoomScaleNormal="35" workbookViewId="0">
      <selection activeCell="J10" sqref="J10"/>
    </sheetView>
  </sheetViews>
  <sheetFormatPr baseColWidth="10" defaultColWidth="5.85546875" defaultRowHeight="30" customHeight="1" x14ac:dyDescent="0.25"/>
  <cols>
    <col min="1" max="1" width="36.140625" bestFit="1" customWidth="1"/>
    <col min="3" max="3" width="5.7109375" customWidth="1"/>
    <col min="4" max="4" width="6.140625" bestFit="1" customWidth="1"/>
    <col min="5" max="10" width="6" bestFit="1" customWidth="1"/>
    <col min="11" max="11" width="6.140625" bestFit="1" customWidth="1"/>
    <col min="12" max="17" width="6" bestFit="1" customWidth="1"/>
    <col min="18" max="18" width="6.140625" bestFit="1" customWidth="1"/>
    <col min="19" max="24" width="6" bestFit="1" customWidth="1"/>
    <col min="25" max="25" width="6.140625" bestFit="1" customWidth="1"/>
    <col min="26" max="31" width="6" bestFit="1" customWidth="1"/>
    <col min="32" max="32" width="6.140625" bestFit="1" customWidth="1"/>
    <col min="33" max="38" width="6" bestFit="1" customWidth="1"/>
    <col min="39" max="39" width="6.140625" bestFit="1" customWidth="1"/>
    <col min="40" max="45" width="6" bestFit="1" customWidth="1"/>
    <col min="46" max="46" width="6.140625" bestFit="1" customWidth="1"/>
    <col min="47" max="52" width="6" bestFit="1" customWidth="1"/>
    <col min="53" max="53" width="6.140625" bestFit="1" customWidth="1"/>
    <col min="54" max="59" width="6" bestFit="1" customWidth="1"/>
    <col min="60" max="60" width="6.140625" bestFit="1" customWidth="1"/>
    <col min="61" max="66" width="6" bestFit="1" customWidth="1"/>
    <col min="67" max="67" width="6.140625" bestFit="1" customWidth="1"/>
    <col min="68" max="73" width="6" bestFit="1" customWidth="1"/>
    <col min="74" max="74" width="6.140625" bestFit="1" customWidth="1"/>
    <col min="75" max="80" width="6" bestFit="1" customWidth="1"/>
    <col min="81" max="81" width="6.140625" bestFit="1" customWidth="1"/>
    <col min="82" max="87" width="6" bestFit="1" customWidth="1"/>
    <col min="88" max="88" width="6.140625" bestFit="1" customWidth="1"/>
    <col min="89" max="94" width="6" bestFit="1" customWidth="1"/>
  </cols>
  <sheetData>
    <row r="1" spans="1:99" ht="30" customHeight="1" x14ac:dyDescent="0.25">
      <c r="C1" s="45" t="s">
        <v>2</v>
      </c>
      <c r="D1" s="46"/>
      <c r="E1" s="45" t="s">
        <v>3</v>
      </c>
      <c r="F1" s="46"/>
      <c r="G1" s="1"/>
      <c r="H1" s="49" t="s">
        <v>4</v>
      </c>
      <c r="I1" s="50"/>
      <c r="J1" s="50"/>
      <c r="K1" s="50"/>
      <c r="L1" s="50"/>
      <c r="M1" s="5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</row>
    <row r="2" spans="1:99" ht="30" customHeight="1" thickBot="1" x14ac:dyDescent="0.3">
      <c r="C2" s="47">
        <v>2021</v>
      </c>
      <c r="D2" s="48"/>
      <c r="E2" s="47" t="s">
        <v>22</v>
      </c>
      <c r="F2" s="48"/>
      <c r="G2" s="14"/>
      <c r="H2" s="52"/>
      <c r="I2" s="53"/>
      <c r="J2" s="53"/>
      <c r="K2" s="53"/>
      <c r="L2" s="53"/>
      <c r="M2" s="54"/>
      <c r="N2" s="1"/>
      <c r="O2" s="37"/>
      <c r="P2" s="37"/>
      <c r="Q2" s="37"/>
      <c r="R2" s="37"/>
      <c r="S2" s="37"/>
      <c r="T2" s="37"/>
      <c r="U2" s="37"/>
      <c r="V2" s="32"/>
      <c r="W2" s="3"/>
      <c r="X2" s="37"/>
      <c r="Y2" s="37"/>
      <c r="Z2" s="37"/>
      <c r="AA2" s="37"/>
      <c r="AB2" s="37"/>
      <c r="AC2" s="37"/>
      <c r="AD2" s="37"/>
      <c r="AE2" s="27"/>
      <c r="AF2" s="3"/>
      <c r="AG2" s="38"/>
      <c r="AH2" s="39"/>
      <c r="AI2" s="39"/>
      <c r="AJ2" s="39"/>
      <c r="AK2" s="39"/>
      <c r="AL2" s="39"/>
      <c r="AM2" s="40"/>
      <c r="AN2" s="28"/>
      <c r="AO2" s="3"/>
      <c r="AP2" s="38"/>
      <c r="AQ2" s="39"/>
      <c r="AR2" s="39"/>
      <c r="AS2" s="39"/>
      <c r="AT2" s="39"/>
      <c r="AU2" s="39"/>
      <c r="AV2" s="40"/>
      <c r="AW2" s="5"/>
      <c r="AX2" s="3"/>
      <c r="AY2" s="38"/>
      <c r="AZ2" s="39"/>
      <c r="BA2" s="39"/>
      <c r="BB2" s="39"/>
      <c r="BC2" s="39"/>
      <c r="BD2" s="39"/>
      <c r="BE2" s="40"/>
      <c r="BF2" s="6"/>
      <c r="BG2" s="1"/>
      <c r="BH2" s="38"/>
      <c r="BI2" s="39"/>
      <c r="BJ2" s="39"/>
      <c r="BK2" s="39"/>
      <c r="BL2" s="39"/>
      <c r="BM2" s="39"/>
      <c r="BN2" s="40"/>
      <c r="BO2" s="2"/>
      <c r="BP2" s="1"/>
      <c r="BQ2" s="38"/>
      <c r="BR2" s="39"/>
      <c r="BS2" s="39"/>
      <c r="BT2" s="39"/>
      <c r="BU2" s="39"/>
      <c r="BV2" s="39"/>
      <c r="BW2" s="40"/>
      <c r="BX2" s="4"/>
      <c r="BY2" s="1"/>
      <c r="BZ2" s="38"/>
      <c r="CA2" s="39"/>
      <c r="CB2" s="39"/>
      <c r="CC2" s="39"/>
      <c r="CD2" s="39"/>
      <c r="CE2" s="39"/>
      <c r="CF2" s="40"/>
      <c r="CG2" s="29"/>
      <c r="CH2" s="1"/>
      <c r="CI2" s="1"/>
      <c r="CJ2" s="1"/>
      <c r="CK2" s="1"/>
      <c r="CL2" s="1"/>
      <c r="CM2" s="1"/>
      <c r="CN2" s="1"/>
      <c r="CO2" s="1"/>
      <c r="CP2" s="1"/>
      <c r="CQ2" s="1"/>
      <c r="CR2" s="1"/>
      <c r="CS2" s="1"/>
      <c r="CT2" s="1"/>
      <c r="CU2" s="1"/>
    </row>
    <row r="3" spans="1:99" ht="30" customHeight="1" x14ac:dyDescent="0.25">
      <c r="C3" s="42">
        <f>DATEVALUE("1."&amp;IF(E2="WS","10.","")&amp;IF(E2="SS","3.","")&amp;g_refjahr)</f>
        <v>44256</v>
      </c>
      <c r="D3" s="43"/>
      <c r="E3" s="43"/>
      <c r="F3" s="44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  <c r="AB3" s="1"/>
      <c r="AC3" s="1"/>
      <c r="AD3" s="1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1"/>
      <c r="AR3" s="1"/>
      <c r="AS3" s="1"/>
      <c r="AT3" s="1"/>
      <c r="AU3" s="1"/>
      <c r="AV3" s="1"/>
      <c r="AW3" s="1"/>
      <c r="AX3" s="1"/>
      <c r="AY3" s="1"/>
      <c r="AZ3" s="1"/>
      <c r="BA3" s="1"/>
      <c r="BB3" s="1"/>
      <c r="BC3" s="1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/>
      <c r="BR3" s="1"/>
      <c r="BS3" s="1"/>
      <c r="BT3" s="1"/>
      <c r="BU3" s="1"/>
      <c r="BV3" s="1"/>
      <c r="BW3" s="1"/>
      <c r="BX3" s="1"/>
      <c r="BY3" s="1"/>
      <c r="BZ3" s="1"/>
      <c r="CA3" s="1"/>
      <c r="CB3" s="1"/>
      <c r="CC3" s="1"/>
      <c r="CD3" s="1"/>
      <c r="CE3" s="1"/>
      <c r="CF3" s="1"/>
      <c r="CG3" s="1"/>
      <c r="CH3" s="1"/>
      <c r="CI3" s="1"/>
      <c r="CJ3" s="1"/>
      <c r="CK3" s="1"/>
      <c r="CL3" s="1"/>
      <c r="CM3" s="1"/>
      <c r="CN3" s="1"/>
      <c r="CO3" s="1"/>
      <c r="CP3" s="1"/>
      <c r="CQ3" s="1"/>
      <c r="CR3" s="1"/>
      <c r="CS3" s="1"/>
    </row>
    <row r="4" spans="1:99" ht="30" customHeight="1" x14ac:dyDescent="0.25">
      <c r="A4" s="19"/>
      <c r="B4" s="19"/>
      <c r="C4" s="19"/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1"/>
      <c r="AR4" s="1"/>
      <c r="AS4" s="1"/>
      <c r="AT4" s="1"/>
      <c r="AU4" s="1"/>
      <c r="AV4" s="1"/>
      <c r="AW4" s="1"/>
      <c r="AX4" s="1"/>
      <c r="AY4" s="1"/>
      <c r="AZ4" s="1"/>
      <c r="BA4" s="1"/>
      <c r="BB4" s="1"/>
      <c r="BC4" s="1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/>
      <c r="BR4" s="1"/>
      <c r="BS4" s="1"/>
      <c r="BT4" s="1"/>
      <c r="BU4" s="1"/>
      <c r="BV4" s="1"/>
      <c r="BW4" s="1"/>
      <c r="BX4" s="1"/>
      <c r="BY4" s="1"/>
      <c r="BZ4" s="1"/>
      <c r="CA4" s="1"/>
      <c r="CB4" s="1"/>
      <c r="CC4" s="1"/>
      <c r="CD4" s="1"/>
      <c r="CE4" s="1"/>
      <c r="CF4" s="1"/>
      <c r="CG4" s="1"/>
      <c r="CH4" s="1"/>
      <c r="CI4" s="1"/>
      <c r="CJ4" s="1"/>
      <c r="CK4" s="1"/>
      <c r="CL4" s="1"/>
      <c r="CM4" s="1"/>
      <c r="CN4" s="1"/>
      <c r="CO4" s="1"/>
      <c r="CP4" s="1"/>
    </row>
    <row r="5" spans="1:99" ht="30" customHeight="1" x14ac:dyDescent="0.25">
      <c r="A5" s="34" t="s">
        <v>21</v>
      </c>
      <c r="B5" s="1"/>
      <c r="C5" s="1"/>
      <c r="D5" s="1"/>
      <c r="E5" s="1"/>
      <c r="F5" s="1"/>
      <c r="G5" s="1"/>
      <c r="H5" s="1"/>
      <c r="I5" s="1"/>
      <c r="J5" s="1"/>
      <c r="K5" s="1"/>
      <c r="L5" s="1"/>
      <c r="M5" s="41">
        <f>Q7</f>
        <v>44270</v>
      </c>
      <c r="N5" s="41"/>
      <c r="O5" s="41"/>
      <c r="P5" s="41"/>
      <c r="Q5" s="41"/>
      <c r="R5" s="41"/>
      <c r="S5" s="41"/>
      <c r="T5" s="41"/>
      <c r="U5" s="41"/>
      <c r="V5" s="1"/>
      <c r="W5" s="1"/>
      <c r="X5" s="1"/>
      <c r="Y5" s="1"/>
      <c r="Z5" s="1"/>
      <c r="AA5" s="1"/>
      <c r="AB5" s="1"/>
      <c r="AC5" s="1"/>
      <c r="AD5" s="1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1">
        <f>AU7</f>
        <v>44300</v>
      </c>
      <c r="AR5" s="41"/>
      <c r="AS5" s="41"/>
      <c r="AT5" s="41"/>
      <c r="AU5" s="41"/>
      <c r="AV5" s="41"/>
      <c r="AW5" s="41"/>
      <c r="AX5" s="41"/>
      <c r="AY5" s="41"/>
      <c r="AZ5" s="1"/>
      <c r="BA5" s="1"/>
      <c r="BB5" s="1"/>
      <c r="BC5" s="1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/>
      <c r="BR5" s="1"/>
      <c r="BS5" s="1"/>
      <c r="BT5" s="1"/>
      <c r="BU5" s="1"/>
      <c r="BV5" s="41">
        <f>BZ7</f>
        <v>44331</v>
      </c>
      <c r="BW5" s="41"/>
      <c r="BX5" s="41"/>
      <c r="BY5" s="41"/>
      <c r="BZ5" s="41"/>
      <c r="CA5" s="41"/>
      <c r="CB5" s="41"/>
      <c r="CC5" s="41"/>
      <c r="CD5" s="41"/>
      <c r="CE5" s="1"/>
      <c r="CF5" s="1"/>
      <c r="CG5" s="1"/>
      <c r="CH5" s="1"/>
      <c r="CI5" s="1"/>
      <c r="CJ5" s="1"/>
      <c r="CK5" s="1"/>
      <c r="CL5" s="1"/>
      <c r="CM5" s="1"/>
      <c r="CN5" s="1"/>
      <c r="CO5" s="1"/>
      <c r="CP5" s="1"/>
    </row>
    <row r="6" spans="1:99" ht="30" customHeight="1" x14ac:dyDescent="0.25">
      <c r="A6" s="11" t="s">
        <v>0</v>
      </c>
      <c r="B6" s="3"/>
      <c r="C6" s="17">
        <f>IF(C7="","",WEEKDAY(C7))</f>
        <v>2</v>
      </c>
      <c r="D6" s="9">
        <f>IF(D7="","",WEEKDAY(D7))</f>
        <v>3</v>
      </c>
      <c r="E6" s="9">
        <f t="shared" ref="E6:BP6" si="0">IF(E7="","",WEEKDAY(E7))</f>
        <v>4</v>
      </c>
      <c r="F6" s="9">
        <f t="shared" si="0"/>
        <v>5</v>
      </c>
      <c r="G6" s="9">
        <f t="shared" si="0"/>
        <v>6</v>
      </c>
      <c r="H6" s="9">
        <f t="shared" si="0"/>
        <v>7</v>
      </c>
      <c r="I6" s="9">
        <f t="shared" si="0"/>
        <v>1</v>
      </c>
      <c r="J6" s="9">
        <f t="shared" si="0"/>
        <v>2</v>
      </c>
      <c r="K6" s="9">
        <f t="shared" si="0"/>
        <v>3</v>
      </c>
      <c r="L6" s="9">
        <f t="shared" si="0"/>
        <v>4</v>
      </c>
      <c r="M6" s="9">
        <f t="shared" si="0"/>
        <v>5</v>
      </c>
      <c r="N6" s="9">
        <f t="shared" si="0"/>
        <v>6</v>
      </c>
      <c r="O6" s="9">
        <f t="shared" si="0"/>
        <v>7</v>
      </c>
      <c r="P6" s="9">
        <f t="shared" si="0"/>
        <v>1</v>
      </c>
      <c r="Q6" s="9">
        <f t="shared" si="0"/>
        <v>2</v>
      </c>
      <c r="R6" s="9">
        <f t="shared" si="0"/>
        <v>3</v>
      </c>
      <c r="S6" s="9">
        <f t="shared" si="0"/>
        <v>4</v>
      </c>
      <c r="T6" s="9">
        <f t="shared" si="0"/>
        <v>5</v>
      </c>
      <c r="U6" s="9">
        <f t="shared" si="0"/>
        <v>6</v>
      </c>
      <c r="V6" s="9">
        <f t="shared" si="0"/>
        <v>7</v>
      </c>
      <c r="W6" s="9">
        <f t="shared" si="0"/>
        <v>1</v>
      </c>
      <c r="X6" s="9">
        <f t="shared" si="0"/>
        <v>2</v>
      </c>
      <c r="Y6" s="9">
        <f t="shared" si="0"/>
        <v>3</v>
      </c>
      <c r="Z6" s="9">
        <f t="shared" si="0"/>
        <v>4</v>
      </c>
      <c r="AA6" s="9">
        <f t="shared" si="0"/>
        <v>5</v>
      </c>
      <c r="AB6" s="9">
        <f t="shared" si="0"/>
        <v>6</v>
      </c>
      <c r="AC6" s="9">
        <f t="shared" si="0"/>
        <v>7</v>
      </c>
      <c r="AD6" s="9">
        <f t="shared" si="0"/>
        <v>1</v>
      </c>
      <c r="AE6" s="9">
        <f t="shared" si="0"/>
        <v>2</v>
      </c>
      <c r="AF6" s="9">
        <f t="shared" si="0"/>
        <v>3</v>
      </c>
      <c r="AG6" s="9">
        <f t="shared" si="0"/>
        <v>4</v>
      </c>
      <c r="AH6" s="9">
        <f t="shared" si="0"/>
        <v>5</v>
      </c>
      <c r="AI6" s="9">
        <f t="shared" si="0"/>
        <v>6</v>
      </c>
      <c r="AJ6" s="9">
        <f t="shared" si="0"/>
        <v>7</v>
      </c>
      <c r="AK6" s="9">
        <f t="shared" si="0"/>
        <v>1</v>
      </c>
      <c r="AL6" s="9">
        <f t="shared" si="0"/>
        <v>2</v>
      </c>
      <c r="AM6" s="9">
        <f t="shared" si="0"/>
        <v>3</v>
      </c>
      <c r="AN6" s="9">
        <f t="shared" si="0"/>
        <v>4</v>
      </c>
      <c r="AO6" s="9">
        <f t="shared" si="0"/>
        <v>5</v>
      </c>
      <c r="AP6" s="9">
        <f t="shared" si="0"/>
        <v>6</v>
      </c>
      <c r="AQ6" s="9">
        <f t="shared" si="0"/>
        <v>7</v>
      </c>
      <c r="AR6" s="9">
        <f t="shared" si="0"/>
        <v>1</v>
      </c>
      <c r="AS6" s="9">
        <f t="shared" si="0"/>
        <v>2</v>
      </c>
      <c r="AT6" s="9">
        <f t="shared" si="0"/>
        <v>3</v>
      </c>
      <c r="AU6" s="9">
        <f t="shared" si="0"/>
        <v>4</v>
      </c>
      <c r="AV6" s="9">
        <f t="shared" si="0"/>
        <v>5</v>
      </c>
      <c r="AW6" s="9">
        <f t="shared" si="0"/>
        <v>6</v>
      </c>
      <c r="AX6" s="9">
        <f t="shared" si="0"/>
        <v>7</v>
      </c>
      <c r="AY6" s="9">
        <f t="shared" si="0"/>
        <v>1</v>
      </c>
      <c r="AZ6" s="9">
        <f t="shared" si="0"/>
        <v>2</v>
      </c>
      <c r="BA6" s="9">
        <f t="shared" si="0"/>
        <v>3</v>
      </c>
      <c r="BB6" s="9">
        <f t="shared" si="0"/>
        <v>4</v>
      </c>
      <c r="BC6" s="9">
        <f t="shared" si="0"/>
        <v>5</v>
      </c>
      <c r="BD6" s="9">
        <f t="shared" si="0"/>
        <v>6</v>
      </c>
      <c r="BE6" s="9">
        <f t="shared" si="0"/>
        <v>7</v>
      </c>
      <c r="BF6" s="9">
        <f t="shared" si="0"/>
        <v>1</v>
      </c>
      <c r="BG6" s="9">
        <f t="shared" si="0"/>
        <v>2</v>
      </c>
      <c r="BH6" s="9">
        <f t="shared" si="0"/>
        <v>3</v>
      </c>
      <c r="BI6" s="9">
        <f t="shared" si="0"/>
        <v>4</v>
      </c>
      <c r="BJ6" s="9">
        <f t="shared" si="0"/>
        <v>5</v>
      </c>
      <c r="BK6" s="9">
        <f t="shared" si="0"/>
        <v>6</v>
      </c>
      <c r="BL6" s="9">
        <f t="shared" si="0"/>
        <v>7</v>
      </c>
      <c r="BM6" s="9">
        <f t="shared" si="0"/>
        <v>1</v>
      </c>
      <c r="BN6" s="9">
        <f t="shared" si="0"/>
        <v>2</v>
      </c>
      <c r="BO6" s="9">
        <f t="shared" si="0"/>
        <v>3</v>
      </c>
      <c r="BP6" s="9">
        <f t="shared" si="0"/>
        <v>4</v>
      </c>
      <c r="BQ6" s="9">
        <f t="shared" ref="BQ6:CP6" si="1">IF(BQ7="","",WEEKDAY(BQ7))</f>
        <v>5</v>
      </c>
      <c r="BR6" s="9">
        <f t="shared" si="1"/>
        <v>6</v>
      </c>
      <c r="BS6" s="9">
        <f t="shared" si="1"/>
        <v>7</v>
      </c>
      <c r="BT6" s="9">
        <f t="shared" si="1"/>
        <v>1</v>
      </c>
      <c r="BU6" s="9">
        <f t="shared" si="1"/>
        <v>2</v>
      </c>
      <c r="BV6" s="9">
        <f t="shared" si="1"/>
        <v>3</v>
      </c>
      <c r="BW6" s="9">
        <f t="shared" si="1"/>
        <v>4</v>
      </c>
      <c r="BX6" s="9">
        <f t="shared" si="1"/>
        <v>5</v>
      </c>
      <c r="BY6" s="9">
        <f t="shared" si="1"/>
        <v>6</v>
      </c>
      <c r="BZ6" s="9">
        <f t="shared" si="1"/>
        <v>7</v>
      </c>
      <c r="CA6" s="9">
        <f t="shared" si="1"/>
        <v>1</v>
      </c>
      <c r="CB6" s="9">
        <f t="shared" si="1"/>
        <v>2</v>
      </c>
      <c r="CC6" s="9">
        <f t="shared" si="1"/>
        <v>3</v>
      </c>
      <c r="CD6" s="9">
        <f t="shared" si="1"/>
        <v>4</v>
      </c>
      <c r="CE6" s="9">
        <f t="shared" si="1"/>
        <v>5</v>
      </c>
      <c r="CF6" s="9">
        <f t="shared" si="1"/>
        <v>6</v>
      </c>
      <c r="CG6" s="9">
        <f t="shared" si="1"/>
        <v>7</v>
      </c>
      <c r="CH6" s="9">
        <f t="shared" si="1"/>
        <v>1</v>
      </c>
      <c r="CI6" s="9">
        <f t="shared" si="1"/>
        <v>2</v>
      </c>
      <c r="CJ6" s="9">
        <f t="shared" si="1"/>
        <v>3</v>
      </c>
      <c r="CK6" s="9">
        <f t="shared" si="1"/>
        <v>4</v>
      </c>
      <c r="CL6" s="9">
        <f t="shared" si="1"/>
        <v>5</v>
      </c>
      <c r="CM6" s="9">
        <f t="shared" si="1"/>
        <v>6</v>
      </c>
      <c r="CN6" s="9">
        <f t="shared" si="1"/>
        <v>7</v>
      </c>
      <c r="CO6" s="9">
        <f t="shared" si="1"/>
        <v>1</v>
      </c>
      <c r="CP6" s="9">
        <f t="shared" si="1"/>
        <v>2</v>
      </c>
    </row>
    <row r="7" spans="1:99" ht="30" customHeight="1" x14ac:dyDescent="0.25">
      <c r="A7" s="12" t="s">
        <v>1</v>
      </c>
      <c r="B7" s="15"/>
      <c r="C7" s="10">
        <f>g_refdatum</f>
        <v>44256</v>
      </c>
      <c r="D7" s="7">
        <f t="shared" ref="D7:BO7" si="2">IF(C7="","",IF(C7+1&lt;EDATE(g_refdatum,3),C7+1,""))</f>
        <v>44257</v>
      </c>
      <c r="E7" s="7">
        <f t="shared" si="2"/>
        <v>44258</v>
      </c>
      <c r="F7" s="7">
        <f t="shared" si="2"/>
        <v>44259</v>
      </c>
      <c r="G7" s="7">
        <f t="shared" si="2"/>
        <v>44260</v>
      </c>
      <c r="H7" s="7">
        <f t="shared" si="2"/>
        <v>44261</v>
      </c>
      <c r="I7" s="7">
        <f t="shared" si="2"/>
        <v>44262</v>
      </c>
      <c r="J7" s="7">
        <f t="shared" si="2"/>
        <v>44263</v>
      </c>
      <c r="K7" s="7">
        <f t="shared" si="2"/>
        <v>44264</v>
      </c>
      <c r="L7" s="7">
        <f t="shared" si="2"/>
        <v>44265</v>
      </c>
      <c r="M7" s="7">
        <f t="shared" si="2"/>
        <v>44266</v>
      </c>
      <c r="N7" s="7">
        <f t="shared" si="2"/>
        <v>44267</v>
      </c>
      <c r="O7" s="7">
        <f t="shared" si="2"/>
        <v>44268</v>
      </c>
      <c r="P7" s="7">
        <f t="shared" si="2"/>
        <v>44269</v>
      </c>
      <c r="Q7" s="7">
        <f t="shared" si="2"/>
        <v>44270</v>
      </c>
      <c r="R7" s="7">
        <f t="shared" si="2"/>
        <v>44271</v>
      </c>
      <c r="S7" s="7">
        <f t="shared" si="2"/>
        <v>44272</v>
      </c>
      <c r="T7" s="7">
        <f t="shared" si="2"/>
        <v>44273</v>
      </c>
      <c r="U7" s="7">
        <f t="shared" si="2"/>
        <v>44274</v>
      </c>
      <c r="V7" s="7">
        <f t="shared" si="2"/>
        <v>44275</v>
      </c>
      <c r="W7" s="7">
        <f t="shared" si="2"/>
        <v>44276</v>
      </c>
      <c r="X7" s="7">
        <f t="shared" si="2"/>
        <v>44277</v>
      </c>
      <c r="Y7" s="7">
        <f t="shared" si="2"/>
        <v>44278</v>
      </c>
      <c r="Z7" s="7">
        <f t="shared" si="2"/>
        <v>44279</v>
      </c>
      <c r="AA7" s="7">
        <f t="shared" si="2"/>
        <v>44280</v>
      </c>
      <c r="AB7" s="7">
        <f t="shared" si="2"/>
        <v>44281</v>
      </c>
      <c r="AC7" s="7">
        <f t="shared" si="2"/>
        <v>44282</v>
      </c>
      <c r="AD7" s="7">
        <f t="shared" si="2"/>
        <v>44283</v>
      </c>
      <c r="AE7" s="7">
        <f t="shared" si="2"/>
        <v>44284</v>
      </c>
      <c r="AF7" s="7">
        <f t="shared" si="2"/>
        <v>44285</v>
      </c>
      <c r="AG7" s="7">
        <f t="shared" si="2"/>
        <v>44286</v>
      </c>
      <c r="AH7" s="7">
        <f t="shared" si="2"/>
        <v>44287</v>
      </c>
      <c r="AI7" s="7">
        <f t="shared" si="2"/>
        <v>44288</v>
      </c>
      <c r="AJ7" s="7">
        <f t="shared" si="2"/>
        <v>44289</v>
      </c>
      <c r="AK7" s="7">
        <f t="shared" si="2"/>
        <v>44290</v>
      </c>
      <c r="AL7" s="7">
        <f t="shared" si="2"/>
        <v>44291</v>
      </c>
      <c r="AM7" s="7">
        <f t="shared" si="2"/>
        <v>44292</v>
      </c>
      <c r="AN7" s="7">
        <f t="shared" si="2"/>
        <v>44293</v>
      </c>
      <c r="AO7" s="7">
        <f t="shared" si="2"/>
        <v>44294</v>
      </c>
      <c r="AP7" s="7">
        <f t="shared" si="2"/>
        <v>44295</v>
      </c>
      <c r="AQ7" s="7">
        <f t="shared" si="2"/>
        <v>44296</v>
      </c>
      <c r="AR7" s="7">
        <f t="shared" si="2"/>
        <v>44297</v>
      </c>
      <c r="AS7" s="7">
        <f t="shared" si="2"/>
        <v>44298</v>
      </c>
      <c r="AT7" s="7">
        <f t="shared" si="2"/>
        <v>44299</v>
      </c>
      <c r="AU7" s="7">
        <f t="shared" si="2"/>
        <v>44300</v>
      </c>
      <c r="AV7" s="7">
        <f t="shared" si="2"/>
        <v>44301</v>
      </c>
      <c r="AW7" s="7">
        <f t="shared" si="2"/>
        <v>44302</v>
      </c>
      <c r="AX7" s="7">
        <f t="shared" si="2"/>
        <v>44303</v>
      </c>
      <c r="AY7" s="7">
        <f t="shared" si="2"/>
        <v>44304</v>
      </c>
      <c r="AZ7" s="7">
        <f t="shared" si="2"/>
        <v>44305</v>
      </c>
      <c r="BA7" s="7">
        <f t="shared" si="2"/>
        <v>44306</v>
      </c>
      <c r="BB7" s="7">
        <f t="shared" si="2"/>
        <v>44307</v>
      </c>
      <c r="BC7" s="7">
        <f t="shared" si="2"/>
        <v>44308</v>
      </c>
      <c r="BD7" s="7">
        <f t="shared" si="2"/>
        <v>44309</v>
      </c>
      <c r="BE7" s="7">
        <f t="shared" si="2"/>
        <v>44310</v>
      </c>
      <c r="BF7" s="7">
        <f t="shared" si="2"/>
        <v>44311</v>
      </c>
      <c r="BG7" s="7">
        <f t="shared" si="2"/>
        <v>44312</v>
      </c>
      <c r="BH7" s="7">
        <f t="shared" si="2"/>
        <v>44313</v>
      </c>
      <c r="BI7" s="7">
        <f t="shared" si="2"/>
        <v>44314</v>
      </c>
      <c r="BJ7" s="7">
        <f t="shared" si="2"/>
        <v>44315</v>
      </c>
      <c r="BK7" s="7">
        <f t="shared" si="2"/>
        <v>44316</v>
      </c>
      <c r="BL7" s="7">
        <f t="shared" si="2"/>
        <v>44317</v>
      </c>
      <c r="BM7" s="7">
        <f t="shared" si="2"/>
        <v>44318</v>
      </c>
      <c r="BN7" s="7">
        <f t="shared" si="2"/>
        <v>44319</v>
      </c>
      <c r="BO7" s="7">
        <f t="shared" si="2"/>
        <v>44320</v>
      </c>
      <c r="BP7" s="7">
        <f t="shared" ref="BP7:CP7" si="3">IF(BO7="","",IF(BO7+1&lt;EDATE(g_refdatum,3),BO7+1,""))</f>
        <v>44321</v>
      </c>
      <c r="BQ7" s="7">
        <f t="shared" si="3"/>
        <v>44322</v>
      </c>
      <c r="BR7" s="7">
        <f t="shared" si="3"/>
        <v>44323</v>
      </c>
      <c r="BS7" s="7">
        <f t="shared" si="3"/>
        <v>44324</v>
      </c>
      <c r="BT7" s="7">
        <f t="shared" si="3"/>
        <v>44325</v>
      </c>
      <c r="BU7" s="7">
        <f t="shared" si="3"/>
        <v>44326</v>
      </c>
      <c r="BV7" s="7">
        <f t="shared" si="3"/>
        <v>44327</v>
      </c>
      <c r="BW7" s="7">
        <f t="shared" si="3"/>
        <v>44328</v>
      </c>
      <c r="BX7" s="7">
        <f t="shared" si="3"/>
        <v>44329</v>
      </c>
      <c r="BY7" s="7">
        <f t="shared" si="3"/>
        <v>44330</v>
      </c>
      <c r="BZ7" s="7">
        <f t="shared" si="3"/>
        <v>44331</v>
      </c>
      <c r="CA7" s="7">
        <f t="shared" si="3"/>
        <v>44332</v>
      </c>
      <c r="CB7" s="7">
        <f t="shared" si="3"/>
        <v>44333</v>
      </c>
      <c r="CC7" s="7">
        <f t="shared" si="3"/>
        <v>44334</v>
      </c>
      <c r="CD7" s="7">
        <f t="shared" si="3"/>
        <v>44335</v>
      </c>
      <c r="CE7" s="7">
        <f t="shared" si="3"/>
        <v>44336</v>
      </c>
      <c r="CF7" s="7">
        <f t="shared" si="3"/>
        <v>44337</v>
      </c>
      <c r="CG7" s="7">
        <f t="shared" si="3"/>
        <v>44338</v>
      </c>
      <c r="CH7" s="7">
        <f t="shared" si="3"/>
        <v>44339</v>
      </c>
      <c r="CI7" s="7">
        <f t="shared" si="3"/>
        <v>44340</v>
      </c>
      <c r="CJ7" s="7">
        <f t="shared" si="3"/>
        <v>44341</v>
      </c>
      <c r="CK7" s="7">
        <f t="shared" si="3"/>
        <v>44342</v>
      </c>
      <c r="CL7" s="7">
        <f t="shared" si="3"/>
        <v>44343</v>
      </c>
      <c r="CM7" s="7">
        <f t="shared" si="3"/>
        <v>44344</v>
      </c>
      <c r="CN7" s="7">
        <f t="shared" si="3"/>
        <v>44345</v>
      </c>
      <c r="CO7" s="7">
        <f t="shared" si="3"/>
        <v>44346</v>
      </c>
      <c r="CP7" s="7">
        <f t="shared" si="3"/>
        <v>44347</v>
      </c>
    </row>
    <row r="8" spans="1:99" ht="45" customHeight="1" x14ac:dyDescent="0.25">
      <c r="A8" s="35" t="s">
        <v>20</v>
      </c>
      <c r="B8" s="16"/>
      <c r="C8" s="30" t="str">
        <f t="shared" ref="C8:AH8" si="4">IF(IF(ISNA(VLOOKUP(C7,g_feiertagsmatrix,2,FALSE)),"",VLOOKUP(C7,g_feiertagsmatrix,2,FALSE))&lt;&gt;"",IF(ISNA(VLOOKUP(C7,g_feiertagsmatrix,2,FALSE)),"",VLOOKUP(C7,g_feiertagsmatrix,2,FALSE)),IF(C6=2,"KW "&amp;TRUNC((C7-DATE(YEAR(C7- MOD(C7-2,7)+3),1,MOD(C7-2,7)- 9))/7),""))</f>
        <v>KW 9</v>
      </c>
      <c r="D8" s="30" t="str">
        <f t="shared" si="4"/>
        <v/>
      </c>
      <c r="E8" s="30" t="str">
        <f t="shared" si="4"/>
        <v/>
      </c>
      <c r="F8" s="30" t="str">
        <f t="shared" si="4"/>
        <v/>
      </c>
      <c r="G8" s="30" t="str">
        <f t="shared" si="4"/>
        <v/>
      </c>
      <c r="H8" s="30" t="str">
        <f t="shared" si="4"/>
        <v/>
      </c>
      <c r="I8" s="30" t="str">
        <f t="shared" si="4"/>
        <v/>
      </c>
      <c r="J8" s="30" t="str">
        <f t="shared" si="4"/>
        <v>KW 10</v>
      </c>
      <c r="K8" s="30" t="str">
        <f t="shared" si="4"/>
        <v/>
      </c>
      <c r="L8" s="30" t="str">
        <f t="shared" si="4"/>
        <v/>
      </c>
      <c r="M8" s="30" t="str">
        <f t="shared" si="4"/>
        <v/>
      </c>
      <c r="N8" s="30" t="str">
        <f t="shared" si="4"/>
        <v/>
      </c>
      <c r="O8" s="30" t="str">
        <f t="shared" si="4"/>
        <v/>
      </c>
      <c r="P8" s="30" t="str">
        <f t="shared" si="4"/>
        <v/>
      </c>
      <c r="Q8" s="30" t="str">
        <f t="shared" si="4"/>
        <v>KW 11</v>
      </c>
      <c r="R8" s="30" t="str">
        <f t="shared" si="4"/>
        <v/>
      </c>
      <c r="S8" s="30" t="str">
        <f t="shared" si="4"/>
        <v/>
      </c>
      <c r="T8" s="30" t="str">
        <f t="shared" si="4"/>
        <v/>
      </c>
      <c r="U8" s="30" t="str">
        <f t="shared" si="4"/>
        <v/>
      </c>
      <c r="V8" s="30" t="str">
        <f t="shared" si="4"/>
        <v/>
      </c>
      <c r="W8" s="30" t="str">
        <f t="shared" si="4"/>
        <v/>
      </c>
      <c r="X8" s="30" t="str">
        <f t="shared" si="4"/>
        <v>KW 12</v>
      </c>
      <c r="Y8" s="30" t="str">
        <f t="shared" si="4"/>
        <v/>
      </c>
      <c r="Z8" s="30" t="str">
        <f t="shared" si="4"/>
        <v/>
      </c>
      <c r="AA8" s="30" t="str">
        <f t="shared" si="4"/>
        <v/>
      </c>
      <c r="AB8" s="30" t="str">
        <f t="shared" si="4"/>
        <v/>
      </c>
      <c r="AC8" s="30" t="str">
        <f t="shared" si="4"/>
        <v/>
      </c>
      <c r="AD8" s="30" t="str">
        <f t="shared" si="4"/>
        <v/>
      </c>
      <c r="AE8" s="30" t="str">
        <f t="shared" si="4"/>
        <v>KW 13</v>
      </c>
      <c r="AF8" s="30" t="str">
        <f t="shared" si="4"/>
        <v/>
      </c>
      <c r="AG8" s="30" t="str">
        <f t="shared" si="4"/>
        <v/>
      </c>
      <c r="AH8" s="30" t="str">
        <f t="shared" si="4"/>
        <v>VLfrei</v>
      </c>
      <c r="AI8" s="30" t="str">
        <f t="shared" ref="AI8:BN8" si="5">IF(IF(ISNA(VLOOKUP(AI7,g_feiertagsmatrix,2,FALSE)),"",VLOOKUP(AI7,g_feiertagsmatrix,2,FALSE))&lt;&gt;"",IF(ISNA(VLOOKUP(AI7,g_feiertagsmatrix,2,FALSE)),"",VLOOKUP(AI7,g_feiertagsmatrix,2,FALSE)),IF(AI6=2,"KW "&amp;TRUNC((AI7-DATE(YEAR(AI7- MOD(AI7-2,7)+3),1,MOD(AI7-2,7)- 9))/7),""))</f>
        <v>Karfreitag</v>
      </c>
      <c r="AJ8" s="30" t="str">
        <f t="shared" si="5"/>
        <v/>
      </c>
      <c r="AK8" s="30" t="str">
        <f t="shared" si="5"/>
        <v/>
      </c>
      <c r="AL8" s="30" t="str">
        <f t="shared" si="5"/>
        <v>Ostermontag</v>
      </c>
      <c r="AM8" s="30" t="str">
        <f t="shared" si="5"/>
        <v>VLfrei</v>
      </c>
      <c r="AN8" s="30" t="str">
        <f t="shared" si="5"/>
        <v/>
      </c>
      <c r="AO8" s="30" t="str">
        <f t="shared" si="5"/>
        <v/>
      </c>
      <c r="AP8" s="30" t="str">
        <f t="shared" si="5"/>
        <v/>
      </c>
      <c r="AQ8" s="30" t="str">
        <f t="shared" si="5"/>
        <v/>
      </c>
      <c r="AR8" s="30" t="str">
        <f t="shared" si="5"/>
        <v/>
      </c>
      <c r="AS8" s="30" t="str">
        <f t="shared" si="5"/>
        <v>KW 15</v>
      </c>
      <c r="AT8" s="30" t="str">
        <f t="shared" si="5"/>
        <v/>
      </c>
      <c r="AU8" s="30" t="str">
        <f t="shared" si="5"/>
        <v/>
      </c>
      <c r="AV8" s="30" t="str">
        <f t="shared" si="5"/>
        <v/>
      </c>
      <c r="AW8" s="30" t="str">
        <f t="shared" si="5"/>
        <v/>
      </c>
      <c r="AX8" s="30" t="str">
        <f t="shared" si="5"/>
        <v/>
      </c>
      <c r="AY8" s="30" t="str">
        <f t="shared" si="5"/>
        <v/>
      </c>
      <c r="AZ8" s="30" t="str">
        <f t="shared" si="5"/>
        <v>KW 16</v>
      </c>
      <c r="BA8" s="30" t="str">
        <f t="shared" si="5"/>
        <v/>
      </c>
      <c r="BB8" s="30" t="str">
        <f t="shared" si="5"/>
        <v/>
      </c>
      <c r="BC8" s="30" t="str">
        <f t="shared" si="5"/>
        <v/>
      </c>
      <c r="BD8" s="30" t="str">
        <f t="shared" si="5"/>
        <v/>
      </c>
      <c r="BE8" s="30" t="str">
        <f t="shared" si="5"/>
        <v/>
      </c>
      <c r="BF8" s="30" t="str">
        <f t="shared" si="5"/>
        <v/>
      </c>
      <c r="BG8" s="30" t="str">
        <f t="shared" si="5"/>
        <v>KW 17</v>
      </c>
      <c r="BH8" s="30" t="str">
        <f t="shared" si="5"/>
        <v/>
      </c>
      <c r="BI8" s="30" t="str">
        <f t="shared" si="5"/>
        <v/>
      </c>
      <c r="BJ8" s="30" t="str">
        <f t="shared" si="5"/>
        <v/>
      </c>
      <c r="BK8" s="30" t="str">
        <f t="shared" si="5"/>
        <v/>
      </c>
      <c r="BL8" s="30" t="str">
        <f t="shared" si="5"/>
        <v>Maifeiertag</v>
      </c>
      <c r="BM8" s="30" t="str">
        <f t="shared" si="5"/>
        <v/>
      </c>
      <c r="BN8" s="30" t="str">
        <f t="shared" si="5"/>
        <v>KW 18</v>
      </c>
      <c r="BO8" s="30" t="str">
        <f t="shared" ref="BO8:CP8" si="6">IF(IF(ISNA(VLOOKUP(BO7,g_feiertagsmatrix,2,FALSE)),"",VLOOKUP(BO7,g_feiertagsmatrix,2,FALSE))&lt;&gt;"",IF(ISNA(VLOOKUP(BO7,g_feiertagsmatrix,2,FALSE)),"",VLOOKUP(BO7,g_feiertagsmatrix,2,FALSE)),IF(BO6=2,"KW "&amp;TRUNC((BO7-DATE(YEAR(BO7- MOD(BO7-2,7)+3),1,MOD(BO7-2,7)- 9))/7),""))</f>
        <v/>
      </c>
      <c r="BP8" s="30" t="str">
        <f t="shared" si="6"/>
        <v/>
      </c>
      <c r="BQ8" s="30" t="str">
        <f t="shared" si="6"/>
        <v/>
      </c>
      <c r="BR8" s="30" t="str">
        <f t="shared" si="6"/>
        <v/>
      </c>
      <c r="BS8" s="30" t="str">
        <f t="shared" si="6"/>
        <v/>
      </c>
      <c r="BT8" s="30" t="str">
        <f t="shared" si="6"/>
        <v/>
      </c>
      <c r="BU8" s="30" t="str">
        <f t="shared" si="6"/>
        <v>KW 19</v>
      </c>
      <c r="BV8" s="30" t="str">
        <f t="shared" si="6"/>
        <v/>
      </c>
      <c r="BW8" s="30" t="str">
        <f t="shared" si="6"/>
        <v/>
      </c>
      <c r="BX8" s="30" t="str">
        <f t="shared" si="6"/>
        <v>Christi Himmelfahrt</v>
      </c>
      <c r="BY8" s="30" t="str">
        <f t="shared" si="6"/>
        <v>VLfrei</v>
      </c>
      <c r="BZ8" s="30" t="str">
        <f t="shared" si="6"/>
        <v/>
      </c>
      <c r="CA8" s="30" t="str">
        <f t="shared" si="6"/>
        <v/>
      </c>
      <c r="CB8" s="30" t="str">
        <f t="shared" si="6"/>
        <v>KW 20</v>
      </c>
      <c r="CC8" s="30" t="str">
        <f t="shared" si="6"/>
        <v/>
      </c>
      <c r="CD8" s="30" t="str">
        <f t="shared" si="6"/>
        <v/>
      </c>
      <c r="CE8" s="30" t="str">
        <f t="shared" si="6"/>
        <v/>
      </c>
      <c r="CF8" s="30" t="str">
        <f t="shared" si="6"/>
        <v/>
      </c>
      <c r="CG8" s="30" t="str">
        <f t="shared" si="6"/>
        <v/>
      </c>
      <c r="CH8" s="30" t="str">
        <f t="shared" si="6"/>
        <v/>
      </c>
      <c r="CI8" s="30" t="str">
        <f t="shared" si="6"/>
        <v>Pfingstmontag</v>
      </c>
      <c r="CJ8" s="30" t="str">
        <f t="shared" si="6"/>
        <v>VLfrei</v>
      </c>
      <c r="CK8" s="30" t="str">
        <f t="shared" si="6"/>
        <v/>
      </c>
      <c r="CL8" s="30" t="str">
        <f t="shared" si="6"/>
        <v/>
      </c>
      <c r="CM8" s="30" t="str">
        <f t="shared" si="6"/>
        <v/>
      </c>
      <c r="CN8" s="30" t="str">
        <f t="shared" si="6"/>
        <v/>
      </c>
      <c r="CO8" s="30" t="str">
        <f t="shared" si="6"/>
        <v/>
      </c>
      <c r="CP8" s="30" t="str">
        <f t="shared" si="6"/>
        <v>KW 22</v>
      </c>
    </row>
    <row r="9" spans="1:99" ht="30" customHeight="1" x14ac:dyDescent="0.25">
      <c r="A9" s="13"/>
      <c r="B9" s="16"/>
      <c r="C9" s="33"/>
      <c r="D9" s="33"/>
      <c r="E9" s="33"/>
      <c r="F9" s="33"/>
      <c r="G9" s="33"/>
      <c r="H9" s="33"/>
      <c r="I9" s="33"/>
      <c r="J9" s="33"/>
      <c r="K9" s="33"/>
      <c r="L9" s="33"/>
      <c r="M9" s="33"/>
      <c r="N9" s="33"/>
      <c r="O9" s="33"/>
      <c r="P9" s="33"/>
      <c r="Q9" s="33"/>
      <c r="R9" s="33"/>
      <c r="S9" s="33"/>
      <c r="T9" s="33"/>
      <c r="U9" s="33"/>
      <c r="V9" s="33"/>
      <c r="W9" s="33"/>
      <c r="X9" s="33"/>
      <c r="Y9" s="33"/>
      <c r="Z9" s="33"/>
      <c r="AA9" s="33"/>
      <c r="AB9" s="33"/>
      <c r="AC9" s="33"/>
      <c r="AD9" s="33"/>
      <c r="AE9" s="33"/>
      <c r="AF9" s="33"/>
      <c r="AG9" s="33"/>
      <c r="AH9" s="33"/>
      <c r="AI9" s="33"/>
      <c r="AJ9" s="33"/>
      <c r="AK9" s="33"/>
      <c r="AL9" s="33"/>
      <c r="AM9" s="33"/>
      <c r="AN9" s="33"/>
      <c r="AO9" s="33"/>
      <c r="AP9" s="33"/>
      <c r="AQ9" s="33"/>
      <c r="AR9" s="33"/>
      <c r="AS9" s="33"/>
      <c r="AT9" s="33"/>
      <c r="AU9" s="33"/>
      <c r="AV9" s="33"/>
      <c r="AW9" s="33"/>
      <c r="AX9" s="33"/>
      <c r="AY9" s="33"/>
      <c r="AZ9" s="33"/>
      <c r="BA9" s="33"/>
      <c r="BB9" s="33"/>
      <c r="BC9" s="33"/>
      <c r="BD9" s="33"/>
      <c r="BE9" s="33"/>
      <c r="BF9" s="33"/>
      <c r="BG9" s="33"/>
      <c r="BH9" s="33"/>
      <c r="BI9" s="33"/>
      <c r="BJ9" s="33"/>
      <c r="BK9" s="33"/>
      <c r="BL9" s="33"/>
      <c r="BM9" s="33"/>
      <c r="BN9" s="33"/>
      <c r="BO9" s="33"/>
      <c r="BP9" s="33"/>
      <c r="BQ9" s="33"/>
      <c r="BR9" s="33"/>
      <c r="BS9" s="33"/>
      <c r="BT9" s="33"/>
      <c r="BU9" s="33"/>
      <c r="BV9" s="33"/>
      <c r="BW9" s="33"/>
      <c r="BX9" s="33"/>
      <c r="BY9" s="33"/>
      <c r="BZ9" s="33"/>
      <c r="CA9" s="33"/>
      <c r="CB9" s="33"/>
      <c r="CC9" s="33"/>
      <c r="CD9" s="33"/>
      <c r="CE9" s="33"/>
      <c r="CF9" s="33"/>
      <c r="CG9" s="33"/>
      <c r="CH9" s="33"/>
      <c r="CI9" s="33"/>
      <c r="CJ9" s="33"/>
      <c r="CK9" s="33"/>
      <c r="CL9" s="33"/>
      <c r="CM9" s="33"/>
      <c r="CN9" s="33"/>
      <c r="CO9" s="33"/>
      <c r="CP9" s="33"/>
    </row>
    <row r="10" spans="1:99" ht="30" customHeight="1" x14ac:dyDescent="0.25">
      <c r="A10" s="13"/>
      <c r="B10" s="16"/>
      <c r="C10" s="33"/>
      <c r="D10" s="33"/>
      <c r="E10" s="33"/>
      <c r="F10" s="33"/>
      <c r="G10" s="33"/>
      <c r="H10" s="33"/>
      <c r="I10" s="33"/>
      <c r="J10" s="33"/>
      <c r="K10" s="33"/>
      <c r="L10" s="33"/>
      <c r="M10" s="33"/>
      <c r="N10" s="33"/>
      <c r="O10" s="33"/>
      <c r="P10" s="33"/>
      <c r="Q10" s="33"/>
      <c r="R10" s="33"/>
      <c r="S10" s="33"/>
      <c r="T10" s="33"/>
      <c r="U10" s="33"/>
      <c r="V10" s="33"/>
      <c r="W10" s="33"/>
      <c r="X10" s="33"/>
      <c r="Y10" s="33"/>
      <c r="Z10" s="33"/>
      <c r="AA10" s="33"/>
      <c r="AB10" s="33"/>
      <c r="AC10" s="33"/>
      <c r="AD10" s="33"/>
      <c r="AE10" s="33"/>
      <c r="AF10" s="33"/>
      <c r="AG10" s="33"/>
      <c r="AH10" s="33"/>
      <c r="AI10" s="33"/>
      <c r="AJ10" s="33"/>
      <c r="AK10" s="33"/>
      <c r="AL10" s="33"/>
      <c r="AM10" s="33"/>
      <c r="AN10" s="33"/>
      <c r="AO10" s="33"/>
      <c r="AP10" s="33"/>
      <c r="AQ10" s="33"/>
      <c r="AR10" s="33"/>
      <c r="AS10" s="33"/>
      <c r="AT10" s="33"/>
      <c r="AU10" s="33"/>
      <c r="AV10" s="33"/>
      <c r="AW10" s="33"/>
      <c r="AX10" s="33"/>
      <c r="AY10" s="33"/>
      <c r="AZ10" s="33"/>
      <c r="BA10" s="33"/>
      <c r="BB10" s="33"/>
      <c r="BC10" s="33"/>
      <c r="BD10" s="33"/>
      <c r="BE10" s="33"/>
      <c r="BF10" s="33"/>
      <c r="BG10" s="33"/>
      <c r="BH10" s="33"/>
      <c r="BI10" s="33"/>
      <c r="BJ10" s="33"/>
      <c r="BK10" s="33"/>
      <c r="BL10" s="33"/>
      <c r="BM10" s="33"/>
      <c r="BN10" s="33"/>
      <c r="BO10" s="33"/>
      <c r="BP10" s="33"/>
      <c r="BQ10" s="33"/>
      <c r="BR10" s="33"/>
      <c r="BS10" s="33"/>
      <c r="BT10" s="33"/>
      <c r="BU10" s="33"/>
      <c r="BV10" s="33"/>
      <c r="BW10" s="33"/>
      <c r="BX10" s="33"/>
      <c r="BY10" s="33"/>
      <c r="BZ10" s="33"/>
      <c r="CA10" s="33"/>
      <c r="CB10" s="33"/>
      <c r="CC10" s="33"/>
      <c r="CD10" s="33"/>
      <c r="CE10" s="33"/>
      <c r="CF10" s="33"/>
      <c r="CG10" s="33"/>
      <c r="CH10" s="33"/>
      <c r="CI10" s="33"/>
      <c r="CJ10" s="33"/>
      <c r="CK10" s="33"/>
      <c r="CL10" s="33"/>
      <c r="CM10" s="33"/>
      <c r="CN10" s="33"/>
      <c r="CO10" s="33"/>
      <c r="CP10" s="33"/>
    </row>
    <row r="11" spans="1:99" ht="30" customHeight="1" x14ac:dyDescent="0.25">
      <c r="A11" s="13"/>
      <c r="B11" s="16"/>
      <c r="C11" s="33"/>
      <c r="D11" s="33"/>
      <c r="E11" s="33"/>
      <c r="F11" s="33"/>
      <c r="G11" s="33"/>
      <c r="H11" s="33"/>
      <c r="I11" s="33"/>
      <c r="J11" s="33"/>
      <c r="K11" s="33"/>
      <c r="L11" s="33"/>
      <c r="M11" s="33"/>
      <c r="N11" s="33"/>
      <c r="O11" s="33"/>
      <c r="P11" s="33"/>
      <c r="Q11" s="33"/>
      <c r="R11" s="33"/>
      <c r="S11" s="33"/>
      <c r="T11" s="33"/>
      <c r="U11" s="33"/>
      <c r="V11" s="33"/>
      <c r="W11" s="33"/>
      <c r="X11" s="33"/>
      <c r="Y11" s="33"/>
      <c r="Z11" s="33"/>
      <c r="AA11" s="33"/>
      <c r="AB11" s="33"/>
      <c r="AC11" s="33"/>
      <c r="AD11" s="33"/>
      <c r="AE11" s="33"/>
      <c r="AF11" s="33"/>
      <c r="AG11" s="33"/>
      <c r="AH11" s="33"/>
      <c r="AI11" s="33"/>
      <c r="AJ11" s="33"/>
      <c r="AK11" s="33"/>
      <c r="AL11" s="33"/>
      <c r="AM11" s="33"/>
      <c r="AN11" s="33"/>
      <c r="AO11" s="33"/>
      <c r="AP11" s="33"/>
      <c r="AQ11" s="33"/>
      <c r="AR11" s="33"/>
      <c r="AS11" s="33"/>
      <c r="AT11" s="33"/>
      <c r="AU11" s="33"/>
      <c r="AV11" s="33"/>
      <c r="AW11" s="33"/>
      <c r="AX11" s="33"/>
      <c r="AY11" s="33"/>
      <c r="AZ11" s="33"/>
      <c r="BA11" s="33"/>
      <c r="BB11" s="33"/>
      <c r="BC11" s="33"/>
      <c r="BD11" s="33"/>
      <c r="BE11" s="33"/>
      <c r="BF11" s="33"/>
      <c r="BG11" s="33"/>
      <c r="BH11" s="33"/>
      <c r="BI11" s="33"/>
      <c r="BJ11" s="33"/>
      <c r="BK11" s="33"/>
      <c r="BL11" s="33"/>
      <c r="BM11" s="33"/>
      <c r="BN11" s="33"/>
      <c r="BO11" s="33"/>
      <c r="BP11" s="33"/>
      <c r="BQ11" s="33"/>
      <c r="BR11" s="33"/>
      <c r="BS11" s="33"/>
      <c r="BT11" s="33"/>
      <c r="BU11" s="33"/>
      <c r="BV11" s="33"/>
      <c r="BW11" s="33"/>
      <c r="BX11" s="33"/>
      <c r="BY11" s="33"/>
      <c r="BZ11" s="33"/>
      <c r="CA11" s="33"/>
      <c r="CB11" s="33"/>
      <c r="CC11" s="33"/>
      <c r="CD11" s="33"/>
      <c r="CE11" s="33"/>
      <c r="CF11" s="33"/>
      <c r="CG11" s="33"/>
      <c r="CH11" s="33"/>
      <c r="CI11" s="33"/>
      <c r="CJ11" s="33"/>
      <c r="CK11" s="33"/>
      <c r="CL11" s="33"/>
      <c r="CM11" s="33"/>
      <c r="CN11" s="33"/>
      <c r="CO11" s="33"/>
      <c r="CP11" s="33"/>
    </row>
    <row r="12" spans="1:99" ht="30" customHeight="1" x14ac:dyDescent="0.25">
      <c r="A12" s="13"/>
      <c r="B12" s="16"/>
      <c r="C12" s="33"/>
      <c r="D12" s="33"/>
      <c r="E12" s="33"/>
      <c r="F12" s="33"/>
      <c r="G12" s="33"/>
      <c r="H12" s="33"/>
      <c r="I12" s="33"/>
      <c r="J12" s="33"/>
      <c r="K12" s="33"/>
      <c r="L12" s="33"/>
      <c r="M12" s="33"/>
      <c r="N12" s="33"/>
      <c r="O12" s="33"/>
      <c r="P12" s="33"/>
      <c r="Q12" s="33"/>
      <c r="R12" s="33"/>
      <c r="S12" s="33"/>
      <c r="T12" s="33"/>
      <c r="U12" s="33"/>
      <c r="V12" s="33"/>
      <c r="W12" s="33"/>
      <c r="X12" s="33"/>
      <c r="Y12" s="33"/>
      <c r="Z12" s="33"/>
      <c r="AA12" s="33"/>
      <c r="AB12" s="33"/>
      <c r="AC12" s="33"/>
      <c r="AD12" s="33"/>
      <c r="AE12" s="33"/>
      <c r="AF12" s="33"/>
      <c r="AG12" s="33"/>
      <c r="AH12" s="33"/>
      <c r="AI12" s="33"/>
      <c r="AJ12" s="33"/>
      <c r="AK12" s="33"/>
      <c r="AL12" s="33"/>
      <c r="AM12" s="33"/>
      <c r="AN12" s="33"/>
      <c r="AO12" s="33"/>
      <c r="AP12" s="33"/>
      <c r="AQ12" s="33"/>
      <c r="AR12" s="33"/>
      <c r="AS12" s="33"/>
      <c r="AT12" s="33"/>
      <c r="AU12" s="33"/>
      <c r="AV12" s="33"/>
      <c r="AW12" s="33"/>
      <c r="AX12" s="33"/>
      <c r="AY12" s="33"/>
      <c r="AZ12" s="33"/>
      <c r="BA12" s="33"/>
      <c r="BB12" s="33"/>
      <c r="BC12" s="33"/>
      <c r="BD12" s="33"/>
      <c r="BE12" s="33"/>
      <c r="BF12" s="33"/>
      <c r="BG12" s="33"/>
      <c r="BH12" s="33"/>
      <c r="BI12" s="33"/>
      <c r="BJ12" s="33"/>
      <c r="BK12" s="33"/>
      <c r="BL12" s="33"/>
      <c r="BM12" s="33"/>
      <c r="BN12" s="33"/>
      <c r="BO12" s="33"/>
      <c r="BP12" s="33"/>
      <c r="BQ12" s="33"/>
      <c r="BR12" s="33"/>
      <c r="BS12" s="33"/>
      <c r="BT12" s="33"/>
      <c r="BU12" s="33"/>
      <c r="BV12" s="33"/>
      <c r="BW12" s="33"/>
      <c r="BX12" s="33"/>
      <c r="BY12" s="33"/>
      <c r="BZ12" s="33"/>
      <c r="CA12" s="33"/>
      <c r="CB12" s="33"/>
      <c r="CC12" s="33"/>
      <c r="CD12" s="33"/>
      <c r="CE12" s="33"/>
      <c r="CF12" s="33"/>
      <c r="CG12" s="33"/>
      <c r="CH12" s="33"/>
      <c r="CI12" s="33"/>
      <c r="CJ12" s="33"/>
      <c r="CK12" s="33"/>
      <c r="CL12" s="33"/>
      <c r="CM12" s="33"/>
      <c r="CN12" s="33"/>
      <c r="CO12" s="33"/>
      <c r="CP12" s="33"/>
    </row>
    <row r="13" spans="1:99" ht="30" customHeight="1" x14ac:dyDescent="0.25">
      <c r="A13" s="13"/>
      <c r="B13" s="16"/>
      <c r="C13" s="33"/>
      <c r="D13" s="33"/>
      <c r="E13" s="33"/>
      <c r="F13" s="33"/>
      <c r="G13" s="33"/>
      <c r="H13" s="33"/>
      <c r="I13" s="33"/>
      <c r="J13" s="33"/>
      <c r="K13" s="33"/>
      <c r="L13" s="33"/>
      <c r="M13" s="33"/>
      <c r="N13" s="33"/>
      <c r="O13" s="33"/>
      <c r="P13" s="33"/>
      <c r="Q13" s="33"/>
      <c r="R13" s="33"/>
      <c r="S13" s="33"/>
      <c r="T13" s="33"/>
      <c r="U13" s="33"/>
      <c r="V13" s="33"/>
      <c r="W13" s="33"/>
      <c r="X13" s="33"/>
      <c r="Y13" s="33"/>
      <c r="Z13" s="33"/>
      <c r="AA13" s="33"/>
      <c r="AB13" s="33"/>
      <c r="AC13" s="33"/>
      <c r="AD13" s="33"/>
      <c r="AE13" s="33"/>
      <c r="AF13" s="33"/>
      <c r="AG13" s="33"/>
      <c r="AH13" s="33"/>
      <c r="AI13" s="33"/>
      <c r="AJ13" s="33"/>
      <c r="AK13" s="33"/>
      <c r="AL13" s="33"/>
      <c r="AM13" s="33"/>
      <c r="AN13" s="33"/>
      <c r="AO13" s="33"/>
      <c r="AP13" s="33"/>
      <c r="AQ13" s="33"/>
      <c r="AR13" s="33"/>
      <c r="AS13" s="33"/>
      <c r="AT13" s="33"/>
      <c r="AU13" s="33"/>
      <c r="AV13" s="33"/>
      <c r="AW13" s="33"/>
      <c r="AX13" s="33"/>
      <c r="AY13" s="33"/>
      <c r="AZ13" s="33"/>
      <c r="BA13" s="33"/>
      <c r="BB13" s="33"/>
      <c r="BC13" s="33"/>
      <c r="BD13" s="33"/>
      <c r="BE13" s="33"/>
      <c r="BF13" s="33"/>
      <c r="BG13" s="33"/>
      <c r="BH13" s="33"/>
      <c r="BI13" s="33"/>
      <c r="BJ13" s="33"/>
      <c r="BK13" s="33"/>
      <c r="BL13" s="33"/>
      <c r="BM13" s="33"/>
      <c r="BN13" s="33"/>
      <c r="BO13" s="33"/>
      <c r="BP13" s="33"/>
      <c r="BQ13" s="33"/>
      <c r="BR13" s="33"/>
      <c r="BS13" s="33"/>
      <c r="BT13" s="33"/>
      <c r="BU13" s="33"/>
      <c r="BV13" s="33"/>
      <c r="BW13" s="33"/>
      <c r="BX13" s="33"/>
      <c r="BY13" s="33"/>
      <c r="BZ13" s="33"/>
      <c r="CA13" s="33"/>
      <c r="CB13" s="33"/>
      <c r="CC13" s="33"/>
      <c r="CD13" s="33"/>
      <c r="CE13" s="33"/>
      <c r="CF13" s="33"/>
      <c r="CG13" s="33"/>
      <c r="CH13" s="33"/>
      <c r="CI13" s="33"/>
      <c r="CJ13" s="33"/>
      <c r="CK13" s="33"/>
      <c r="CL13" s="33"/>
      <c r="CM13" s="33"/>
      <c r="CN13" s="33"/>
      <c r="CO13" s="33"/>
      <c r="CP13" s="33"/>
    </row>
    <row r="14" spans="1:99" ht="30" customHeight="1" x14ac:dyDescent="0.25">
      <c r="A14" s="13"/>
      <c r="B14" s="16"/>
      <c r="C14" s="33"/>
      <c r="D14" s="33"/>
      <c r="E14" s="33"/>
      <c r="F14" s="33"/>
      <c r="G14" s="33"/>
      <c r="H14" s="33"/>
      <c r="I14" s="33"/>
      <c r="J14" s="33"/>
      <c r="K14" s="33"/>
      <c r="L14" s="33"/>
      <c r="M14" s="33"/>
      <c r="N14" s="33"/>
      <c r="O14" s="33"/>
      <c r="P14" s="33"/>
      <c r="Q14" s="33"/>
      <c r="R14" s="33"/>
      <c r="S14" s="33"/>
      <c r="T14" s="33"/>
      <c r="U14" s="33"/>
      <c r="V14" s="33"/>
      <c r="W14" s="33"/>
      <c r="X14" s="33"/>
      <c r="Y14" s="33"/>
      <c r="Z14" s="33"/>
      <c r="AA14" s="33"/>
      <c r="AB14" s="33"/>
      <c r="AC14" s="33"/>
      <c r="AD14" s="33"/>
      <c r="AE14" s="33"/>
      <c r="AF14" s="33"/>
      <c r="AG14" s="33"/>
      <c r="AH14" s="33"/>
      <c r="AI14" s="33"/>
      <c r="AJ14" s="33"/>
      <c r="AK14" s="33"/>
      <c r="AL14" s="33"/>
      <c r="AM14" s="33"/>
      <c r="AN14" s="33"/>
      <c r="AO14" s="33"/>
      <c r="AP14" s="33"/>
      <c r="AQ14" s="33"/>
      <c r="AR14" s="33"/>
      <c r="AS14" s="33"/>
      <c r="AT14" s="33"/>
      <c r="AU14" s="33"/>
      <c r="AV14" s="33"/>
      <c r="AW14" s="33"/>
      <c r="AX14" s="33"/>
      <c r="AY14" s="33"/>
      <c r="AZ14" s="33"/>
      <c r="BA14" s="33"/>
      <c r="BB14" s="33"/>
      <c r="BC14" s="33"/>
      <c r="BD14" s="33"/>
      <c r="BE14" s="33"/>
      <c r="BF14" s="33"/>
      <c r="BG14" s="33"/>
      <c r="BH14" s="33"/>
      <c r="BI14" s="33"/>
      <c r="BJ14" s="33"/>
      <c r="BK14" s="33"/>
      <c r="BL14" s="33"/>
      <c r="BM14" s="33"/>
      <c r="BN14" s="33"/>
      <c r="BO14" s="33"/>
      <c r="BP14" s="33"/>
      <c r="BQ14" s="33"/>
      <c r="BR14" s="33"/>
      <c r="BS14" s="33"/>
      <c r="BT14" s="33"/>
      <c r="BU14" s="33"/>
      <c r="BV14" s="33"/>
      <c r="BW14" s="33"/>
      <c r="BX14" s="33"/>
      <c r="BY14" s="33"/>
      <c r="BZ14" s="33"/>
      <c r="CA14" s="33"/>
      <c r="CB14" s="33"/>
      <c r="CC14" s="33"/>
      <c r="CD14" s="33"/>
      <c r="CE14" s="33"/>
      <c r="CF14" s="33"/>
      <c r="CG14" s="33"/>
      <c r="CH14" s="33"/>
      <c r="CI14" s="33"/>
      <c r="CJ14" s="33"/>
      <c r="CK14" s="33"/>
      <c r="CL14" s="33"/>
      <c r="CM14" s="33"/>
      <c r="CN14" s="33"/>
      <c r="CO14" s="33"/>
      <c r="CP14" s="33"/>
    </row>
    <row r="15" spans="1:99" ht="30" customHeight="1" x14ac:dyDescent="0.25">
      <c r="A15" s="13"/>
      <c r="B15" s="16"/>
      <c r="C15" s="33"/>
      <c r="D15" s="33"/>
      <c r="E15" s="33"/>
      <c r="F15" s="33"/>
      <c r="G15" s="33"/>
      <c r="H15" s="33"/>
      <c r="I15" s="33"/>
      <c r="J15" s="33"/>
      <c r="K15" s="33"/>
      <c r="L15" s="33"/>
      <c r="M15" s="33"/>
      <c r="N15" s="33"/>
      <c r="O15" s="33"/>
      <c r="P15" s="33"/>
      <c r="Q15" s="33"/>
      <c r="R15" s="33"/>
      <c r="S15" s="33"/>
      <c r="T15" s="33"/>
      <c r="U15" s="33"/>
      <c r="V15" s="33"/>
      <c r="W15" s="33"/>
      <c r="X15" s="33"/>
      <c r="Y15" s="33"/>
      <c r="Z15" s="33"/>
      <c r="AA15" s="33"/>
      <c r="AB15" s="33"/>
      <c r="AC15" s="33"/>
      <c r="AD15" s="33"/>
      <c r="AE15" s="33"/>
      <c r="AF15" s="33"/>
      <c r="AG15" s="33"/>
      <c r="AH15" s="33"/>
      <c r="AI15" s="33"/>
      <c r="AJ15" s="33"/>
      <c r="AK15" s="33"/>
      <c r="AL15" s="33"/>
      <c r="AM15" s="33"/>
      <c r="AN15" s="33"/>
      <c r="AO15" s="33"/>
      <c r="AP15" s="33"/>
      <c r="AQ15" s="33"/>
      <c r="AR15" s="33"/>
      <c r="AS15" s="33"/>
      <c r="AT15" s="33"/>
      <c r="AU15" s="33"/>
      <c r="AV15" s="33"/>
      <c r="AW15" s="33"/>
      <c r="AX15" s="33"/>
      <c r="AY15" s="33"/>
      <c r="AZ15" s="33"/>
      <c r="BA15" s="33"/>
      <c r="BB15" s="33"/>
      <c r="BC15" s="33"/>
      <c r="BD15" s="33"/>
      <c r="BE15" s="33"/>
      <c r="BF15" s="33"/>
      <c r="BG15" s="33"/>
      <c r="BH15" s="33"/>
      <c r="BI15" s="33"/>
      <c r="BJ15" s="33"/>
      <c r="BK15" s="33"/>
      <c r="BL15" s="33"/>
      <c r="BM15" s="33"/>
      <c r="BN15" s="33"/>
      <c r="BO15" s="33"/>
      <c r="BP15" s="33"/>
      <c r="BQ15" s="33"/>
      <c r="BR15" s="33"/>
      <c r="BS15" s="33"/>
      <c r="BT15" s="33"/>
      <c r="BU15" s="33"/>
      <c r="BV15" s="33"/>
      <c r="BW15" s="33"/>
      <c r="BX15" s="33"/>
      <c r="BY15" s="33"/>
      <c r="BZ15" s="33"/>
      <c r="CA15" s="33"/>
      <c r="CB15" s="33"/>
      <c r="CC15" s="33"/>
      <c r="CD15" s="33"/>
      <c r="CE15" s="33"/>
      <c r="CF15" s="33"/>
      <c r="CG15" s="33"/>
      <c r="CH15" s="33"/>
      <c r="CI15" s="33"/>
      <c r="CJ15" s="33"/>
      <c r="CK15" s="33"/>
      <c r="CL15" s="33"/>
      <c r="CM15" s="33"/>
      <c r="CN15" s="33"/>
      <c r="CO15" s="33"/>
      <c r="CP15" s="33"/>
    </row>
    <row r="16" spans="1:99" ht="30" customHeight="1" x14ac:dyDescent="0.25">
      <c r="A16" s="13"/>
      <c r="B16" s="16"/>
      <c r="C16" s="33"/>
      <c r="D16" s="33"/>
      <c r="E16" s="33"/>
      <c r="F16" s="33"/>
      <c r="G16" s="33"/>
      <c r="H16" s="33"/>
      <c r="I16" s="33"/>
      <c r="J16" s="33"/>
      <c r="K16" s="33"/>
      <c r="L16" s="33"/>
      <c r="M16" s="33"/>
      <c r="N16" s="33"/>
      <c r="O16" s="33"/>
      <c r="P16" s="33"/>
      <c r="Q16" s="33"/>
      <c r="R16" s="33"/>
      <c r="S16" s="33"/>
      <c r="T16" s="33"/>
      <c r="U16" s="33"/>
      <c r="V16" s="33"/>
      <c r="W16" s="33"/>
      <c r="X16" s="33"/>
      <c r="Y16" s="33"/>
      <c r="Z16" s="33"/>
      <c r="AA16" s="33"/>
      <c r="AB16" s="33"/>
      <c r="AC16" s="33"/>
      <c r="AD16" s="33"/>
      <c r="AE16" s="33"/>
      <c r="AF16" s="33"/>
      <c r="AG16" s="33"/>
      <c r="AH16" s="33"/>
      <c r="AI16" s="33"/>
      <c r="AJ16" s="33"/>
      <c r="AK16" s="33"/>
      <c r="AL16" s="33"/>
      <c r="AM16" s="33"/>
      <c r="AN16" s="33"/>
      <c r="AO16" s="33"/>
      <c r="AP16" s="33"/>
      <c r="AQ16" s="33"/>
      <c r="AR16" s="33"/>
      <c r="AS16" s="33"/>
      <c r="AT16" s="33"/>
      <c r="AU16" s="33"/>
      <c r="AV16" s="33"/>
      <c r="AW16" s="33"/>
      <c r="AX16" s="33"/>
      <c r="AY16" s="33"/>
      <c r="AZ16" s="33"/>
      <c r="BA16" s="33"/>
      <c r="BB16" s="33"/>
      <c r="BC16" s="33"/>
      <c r="BD16" s="33"/>
      <c r="BE16" s="33"/>
      <c r="BF16" s="33"/>
      <c r="BG16" s="33"/>
      <c r="BH16" s="33"/>
      <c r="BI16" s="33"/>
      <c r="BJ16" s="33"/>
      <c r="BK16" s="33"/>
      <c r="BL16" s="33"/>
      <c r="BM16" s="33"/>
      <c r="BN16" s="33"/>
      <c r="BO16" s="33"/>
      <c r="BP16" s="33"/>
      <c r="BQ16" s="33"/>
      <c r="BR16" s="33"/>
      <c r="BS16" s="33"/>
      <c r="BT16" s="33"/>
      <c r="BU16" s="33"/>
      <c r="BV16" s="33"/>
      <c r="BW16" s="33"/>
      <c r="BX16" s="33"/>
      <c r="BY16" s="33"/>
      <c r="BZ16" s="33"/>
      <c r="CA16" s="33"/>
      <c r="CB16" s="33"/>
      <c r="CC16" s="33"/>
      <c r="CD16" s="33"/>
      <c r="CE16" s="33"/>
      <c r="CF16" s="33"/>
      <c r="CG16" s="33"/>
      <c r="CH16" s="33"/>
      <c r="CI16" s="33"/>
      <c r="CJ16" s="33"/>
      <c r="CK16" s="33"/>
      <c r="CL16" s="33"/>
      <c r="CM16" s="33"/>
      <c r="CN16" s="33"/>
      <c r="CO16" s="33"/>
      <c r="CP16" s="33"/>
    </row>
    <row r="17" spans="1:94" ht="30" customHeight="1" x14ac:dyDescent="0.25">
      <c r="A17" s="13"/>
      <c r="B17" s="16"/>
      <c r="C17" s="33"/>
      <c r="D17" s="33"/>
      <c r="E17" s="33"/>
      <c r="F17" s="33"/>
      <c r="G17" s="33"/>
      <c r="H17" s="33"/>
      <c r="I17" s="33"/>
      <c r="J17" s="33"/>
      <c r="K17" s="33"/>
      <c r="L17" s="33"/>
      <c r="M17" s="33"/>
      <c r="N17" s="33"/>
      <c r="O17" s="33"/>
      <c r="P17" s="33"/>
      <c r="Q17" s="33"/>
      <c r="R17" s="33"/>
      <c r="S17" s="33"/>
      <c r="T17" s="33"/>
      <c r="U17" s="33"/>
      <c r="V17" s="33"/>
      <c r="W17" s="33"/>
      <c r="X17" s="33"/>
      <c r="Y17" s="33"/>
      <c r="Z17" s="33"/>
      <c r="AA17" s="33"/>
      <c r="AB17" s="33"/>
      <c r="AC17" s="33"/>
      <c r="AD17" s="33"/>
      <c r="AE17" s="33"/>
      <c r="AF17" s="33"/>
      <c r="AG17" s="33"/>
      <c r="AH17" s="33"/>
      <c r="AI17" s="33"/>
      <c r="AJ17" s="33"/>
      <c r="AK17" s="33"/>
      <c r="AL17" s="33"/>
      <c r="AM17" s="33"/>
      <c r="AN17" s="33"/>
      <c r="AO17" s="33"/>
      <c r="AP17" s="33"/>
      <c r="AQ17" s="33"/>
      <c r="AR17" s="33"/>
      <c r="AS17" s="33"/>
      <c r="AT17" s="33"/>
      <c r="AU17" s="33"/>
      <c r="AV17" s="33"/>
      <c r="AW17" s="33"/>
      <c r="AX17" s="33"/>
      <c r="AY17" s="33"/>
      <c r="AZ17" s="33"/>
      <c r="BA17" s="33"/>
      <c r="BB17" s="33"/>
      <c r="BC17" s="33"/>
      <c r="BD17" s="33"/>
      <c r="BE17" s="33"/>
      <c r="BF17" s="33"/>
      <c r="BG17" s="33"/>
      <c r="BH17" s="33"/>
      <c r="BI17" s="33"/>
      <c r="BJ17" s="33"/>
      <c r="BK17" s="33"/>
      <c r="BL17" s="33"/>
      <c r="BM17" s="33"/>
      <c r="BN17" s="33"/>
      <c r="BO17" s="33"/>
      <c r="BP17" s="33"/>
      <c r="BQ17" s="33"/>
      <c r="BR17" s="33"/>
      <c r="BS17" s="33"/>
      <c r="BT17" s="33"/>
      <c r="BU17" s="33"/>
      <c r="BV17" s="33"/>
      <c r="BW17" s="33"/>
      <c r="BX17" s="33"/>
      <c r="BY17" s="33"/>
      <c r="BZ17" s="33"/>
      <c r="CA17" s="33"/>
      <c r="CB17" s="33"/>
      <c r="CC17" s="33"/>
      <c r="CD17" s="33"/>
      <c r="CE17" s="33"/>
      <c r="CF17" s="33"/>
      <c r="CG17" s="33"/>
      <c r="CH17" s="33"/>
      <c r="CI17" s="33"/>
      <c r="CJ17" s="33"/>
      <c r="CK17" s="33"/>
      <c r="CL17" s="33"/>
      <c r="CM17" s="33"/>
      <c r="CN17" s="33"/>
      <c r="CO17" s="33"/>
      <c r="CP17" s="33"/>
    </row>
    <row r="18" spans="1:94" ht="30" customHeight="1" x14ac:dyDescent="0.25">
      <c r="A18" s="13"/>
      <c r="B18" s="16"/>
      <c r="C18" s="33"/>
      <c r="D18" s="33"/>
      <c r="E18" s="33"/>
      <c r="F18" s="33"/>
      <c r="G18" s="33"/>
      <c r="H18" s="33"/>
      <c r="I18" s="33"/>
      <c r="J18" s="33"/>
      <c r="K18" s="33"/>
      <c r="L18" s="33"/>
      <c r="M18" s="33"/>
      <c r="N18" s="33"/>
      <c r="O18" s="33"/>
      <c r="P18" s="33"/>
      <c r="Q18" s="33"/>
      <c r="R18" s="33"/>
      <c r="S18" s="33"/>
      <c r="T18" s="33"/>
      <c r="U18" s="33"/>
      <c r="V18" s="33"/>
      <c r="W18" s="33"/>
      <c r="X18" s="33"/>
      <c r="Y18" s="33"/>
      <c r="Z18" s="33"/>
      <c r="AA18" s="33"/>
      <c r="AB18" s="33"/>
      <c r="AC18" s="33"/>
      <c r="AD18" s="33"/>
      <c r="AE18" s="33"/>
      <c r="AF18" s="33"/>
      <c r="AG18" s="33"/>
      <c r="AH18" s="33"/>
      <c r="AI18" s="33"/>
      <c r="AJ18" s="33"/>
      <c r="AK18" s="33"/>
      <c r="AL18" s="33"/>
      <c r="AM18" s="33"/>
      <c r="AN18" s="33"/>
      <c r="AO18" s="33"/>
      <c r="AP18" s="33"/>
      <c r="AQ18" s="33"/>
      <c r="AR18" s="33"/>
      <c r="AS18" s="33"/>
      <c r="AT18" s="33"/>
      <c r="AU18" s="33"/>
      <c r="AV18" s="33"/>
      <c r="AW18" s="33"/>
      <c r="AX18" s="33"/>
      <c r="AY18" s="33"/>
      <c r="AZ18" s="33"/>
      <c r="BA18" s="33"/>
      <c r="BB18" s="33"/>
      <c r="BC18" s="33"/>
      <c r="BD18" s="33"/>
      <c r="BE18" s="33"/>
      <c r="BF18" s="33"/>
      <c r="BG18" s="33"/>
      <c r="BH18" s="33"/>
      <c r="BI18" s="33"/>
      <c r="BJ18" s="33"/>
      <c r="BK18" s="33"/>
      <c r="BL18" s="33"/>
      <c r="BM18" s="33"/>
      <c r="BN18" s="33"/>
      <c r="BO18" s="33"/>
      <c r="BP18" s="33"/>
      <c r="BQ18" s="33"/>
      <c r="BR18" s="33"/>
      <c r="BS18" s="33"/>
      <c r="BT18" s="33"/>
      <c r="BU18" s="33"/>
      <c r="BV18" s="33"/>
      <c r="BW18" s="33"/>
      <c r="BX18" s="33"/>
      <c r="BY18" s="33"/>
      <c r="BZ18" s="33"/>
      <c r="CA18" s="33"/>
      <c r="CB18" s="33"/>
      <c r="CC18" s="33"/>
      <c r="CD18" s="33"/>
      <c r="CE18" s="33"/>
      <c r="CF18" s="33"/>
      <c r="CG18" s="33"/>
      <c r="CH18" s="33"/>
      <c r="CI18" s="33"/>
      <c r="CJ18" s="33"/>
      <c r="CK18" s="33"/>
      <c r="CL18" s="33"/>
      <c r="CM18" s="33"/>
      <c r="CN18" s="33"/>
      <c r="CO18" s="33"/>
      <c r="CP18" s="33"/>
    </row>
    <row r="19" spans="1:94" ht="30" customHeight="1" x14ac:dyDescent="0.25">
      <c r="A19" s="13"/>
      <c r="B19" s="16"/>
      <c r="C19" s="33"/>
      <c r="D19" s="33"/>
      <c r="E19" s="33"/>
      <c r="F19" s="33"/>
      <c r="G19" s="33"/>
      <c r="H19" s="33"/>
      <c r="I19" s="33"/>
      <c r="J19" s="33"/>
      <c r="K19" s="33"/>
      <c r="L19" s="33"/>
      <c r="M19" s="33"/>
      <c r="N19" s="33"/>
      <c r="O19" s="33"/>
      <c r="P19" s="33"/>
      <c r="Q19" s="33"/>
      <c r="R19" s="33"/>
      <c r="S19" s="33"/>
      <c r="T19" s="33"/>
      <c r="U19" s="33"/>
      <c r="V19" s="33"/>
      <c r="W19" s="33"/>
      <c r="X19" s="33"/>
      <c r="Y19" s="33"/>
      <c r="Z19" s="33"/>
      <c r="AA19" s="33"/>
      <c r="AB19" s="33"/>
      <c r="AC19" s="33"/>
      <c r="AD19" s="33"/>
      <c r="AE19" s="33"/>
      <c r="AF19" s="33"/>
      <c r="AG19" s="33"/>
      <c r="AH19" s="33"/>
      <c r="AI19" s="33"/>
      <c r="AJ19" s="33"/>
      <c r="AK19" s="33"/>
      <c r="AL19" s="33"/>
      <c r="AM19" s="33"/>
      <c r="AN19" s="33"/>
      <c r="AO19" s="33"/>
      <c r="AP19" s="33"/>
      <c r="AQ19" s="33"/>
      <c r="AR19" s="33"/>
      <c r="AS19" s="33"/>
      <c r="AT19" s="33"/>
      <c r="AU19" s="33"/>
      <c r="AV19" s="33"/>
      <c r="AW19" s="33"/>
      <c r="AX19" s="33"/>
      <c r="AY19" s="33"/>
      <c r="AZ19" s="33"/>
      <c r="BA19" s="33"/>
      <c r="BB19" s="33"/>
      <c r="BC19" s="33"/>
      <c r="BD19" s="33"/>
      <c r="BE19" s="33"/>
      <c r="BF19" s="33"/>
      <c r="BG19" s="33"/>
      <c r="BH19" s="33"/>
      <c r="BI19" s="33"/>
      <c r="BJ19" s="33"/>
      <c r="BK19" s="33"/>
      <c r="BL19" s="33"/>
      <c r="BM19" s="33"/>
      <c r="BN19" s="33"/>
      <c r="BO19" s="33"/>
      <c r="BP19" s="33"/>
      <c r="BQ19" s="33"/>
      <c r="BR19" s="33"/>
      <c r="BS19" s="33"/>
      <c r="BT19" s="33"/>
      <c r="BU19" s="33"/>
      <c r="BV19" s="33"/>
      <c r="BW19" s="33"/>
      <c r="BX19" s="33"/>
      <c r="BY19" s="33"/>
      <c r="BZ19" s="33"/>
      <c r="CA19" s="33"/>
      <c r="CB19" s="33"/>
      <c r="CC19" s="33"/>
      <c r="CD19" s="33"/>
      <c r="CE19" s="33"/>
      <c r="CF19" s="33"/>
      <c r="CG19" s="33"/>
      <c r="CH19" s="33"/>
      <c r="CI19" s="33"/>
      <c r="CJ19" s="33"/>
      <c r="CK19" s="33"/>
      <c r="CL19" s="33"/>
      <c r="CM19" s="33"/>
      <c r="CN19" s="33"/>
      <c r="CO19" s="33"/>
      <c r="CP19" s="33"/>
    </row>
    <row r="20" spans="1:94" ht="30" customHeight="1" x14ac:dyDescent="0.25">
      <c r="A20" s="13"/>
      <c r="B20" s="16"/>
      <c r="C20" s="33"/>
      <c r="D20" s="33"/>
      <c r="E20" s="33"/>
      <c r="F20" s="33"/>
      <c r="G20" s="33"/>
      <c r="H20" s="33"/>
      <c r="I20" s="33"/>
      <c r="J20" s="33"/>
      <c r="K20" s="33"/>
      <c r="L20" s="33"/>
      <c r="M20" s="33"/>
      <c r="N20" s="33"/>
      <c r="O20" s="33"/>
      <c r="P20" s="33"/>
      <c r="Q20" s="33"/>
      <c r="R20" s="33"/>
      <c r="S20" s="33"/>
      <c r="T20" s="33"/>
      <c r="U20" s="33"/>
      <c r="V20" s="33"/>
      <c r="W20" s="33"/>
      <c r="X20" s="33"/>
      <c r="Y20" s="33"/>
      <c r="Z20" s="33"/>
      <c r="AA20" s="33"/>
      <c r="AB20" s="33"/>
      <c r="AC20" s="33"/>
      <c r="AD20" s="33"/>
      <c r="AE20" s="33"/>
      <c r="AF20" s="33"/>
      <c r="AG20" s="33"/>
      <c r="AH20" s="33"/>
      <c r="AI20" s="33"/>
      <c r="AJ20" s="33"/>
      <c r="AK20" s="33"/>
      <c r="AL20" s="33"/>
      <c r="AM20" s="33"/>
      <c r="AN20" s="33"/>
      <c r="AO20" s="33"/>
      <c r="AP20" s="33"/>
      <c r="AQ20" s="33"/>
      <c r="AR20" s="33"/>
      <c r="AS20" s="33"/>
      <c r="AT20" s="33"/>
      <c r="AU20" s="33"/>
      <c r="AV20" s="33"/>
      <c r="AW20" s="33"/>
      <c r="AX20" s="33"/>
      <c r="AY20" s="33"/>
      <c r="AZ20" s="33"/>
      <c r="BA20" s="33"/>
      <c r="BB20" s="33"/>
      <c r="BC20" s="33"/>
      <c r="BD20" s="33"/>
      <c r="BE20" s="33"/>
      <c r="BF20" s="33"/>
      <c r="BG20" s="33"/>
      <c r="BH20" s="33"/>
      <c r="BI20" s="33"/>
      <c r="BJ20" s="33"/>
      <c r="BK20" s="33"/>
      <c r="BL20" s="33"/>
      <c r="BM20" s="33"/>
      <c r="BN20" s="33"/>
      <c r="BO20" s="33"/>
      <c r="BP20" s="33"/>
      <c r="BQ20" s="33"/>
      <c r="BR20" s="33"/>
      <c r="BS20" s="33"/>
      <c r="BT20" s="33"/>
      <c r="BU20" s="33"/>
      <c r="BV20" s="33"/>
      <c r="BW20" s="33"/>
      <c r="BX20" s="33"/>
      <c r="BY20" s="33"/>
      <c r="BZ20" s="33"/>
      <c r="CA20" s="33"/>
      <c r="CB20" s="33"/>
      <c r="CC20" s="33"/>
      <c r="CD20" s="33"/>
      <c r="CE20" s="33"/>
      <c r="CF20" s="33"/>
      <c r="CG20" s="33"/>
      <c r="CH20" s="33"/>
      <c r="CI20" s="33"/>
      <c r="CJ20" s="33"/>
      <c r="CK20" s="33"/>
      <c r="CL20" s="33"/>
      <c r="CM20" s="33"/>
      <c r="CN20" s="33"/>
      <c r="CO20" s="33"/>
      <c r="CP20" s="33"/>
    </row>
    <row r="21" spans="1:94" ht="30" customHeight="1" x14ac:dyDescent="0.25">
      <c r="A21" s="13"/>
      <c r="B21" s="16"/>
      <c r="C21" s="33"/>
      <c r="D21" s="33"/>
      <c r="E21" s="33"/>
      <c r="F21" s="33"/>
      <c r="G21" s="33"/>
      <c r="H21" s="33"/>
      <c r="I21" s="33"/>
      <c r="J21" s="33"/>
      <c r="K21" s="33"/>
      <c r="L21" s="33"/>
      <c r="M21" s="33"/>
      <c r="N21" s="33"/>
      <c r="O21" s="33"/>
      <c r="P21" s="33"/>
      <c r="Q21" s="33"/>
      <c r="R21" s="33"/>
      <c r="S21" s="33"/>
      <c r="T21" s="33"/>
      <c r="U21" s="33"/>
      <c r="V21" s="33"/>
      <c r="W21" s="33"/>
      <c r="X21" s="33"/>
      <c r="Y21" s="33"/>
      <c r="Z21" s="33"/>
      <c r="AA21" s="33"/>
      <c r="AB21" s="33"/>
      <c r="AC21" s="33"/>
      <c r="AD21" s="33"/>
      <c r="AE21" s="33"/>
      <c r="AF21" s="33"/>
      <c r="AG21" s="33"/>
      <c r="AH21" s="33"/>
      <c r="AI21" s="33"/>
      <c r="AJ21" s="33"/>
      <c r="AK21" s="33"/>
      <c r="AL21" s="33"/>
      <c r="AM21" s="33"/>
      <c r="AN21" s="33"/>
      <c r="AO21" s="33"/>
      <c r="AP21" s="33"/>
      <c r="AQ21" s="33"/>
      <c r="AR21" s="33"/>
      <c r="AS21" s="33"/>
      <c r="AT21" s="33"/>
      <c r="AU21" s="33"/>
      <c r="AV21" s="33"/>
      <c r="AW21" s="33"/>
      <c r="AX21" s="33"/>
      <c r="AY21" s="33"/>
      <c r="AZ21" s="33"/>
      <c r="BA21" s="33"/>
      <c r="BB21" s="33"/>
      <c r="BC21" s="33"/>
      <c r="BD21" s="33"/>
      <c r="BE21" s="33"/>
      <c r="BF21" s="33"/>
      <c r="BG21" s="33"/>
      <c r="BH21" s="33"/>
      <c r="BI21" s="33"/>
      <c r="BJ21" s="33"/>
      <c r="BK21" s="33"/>
      <c r="BL21" s="33"/>
      <c r="BM21" s="33"/>
      <c r="BN21" s="33"/>
      <c r="BO21" s="33"/>
      <c r="BP21" s="33"/>
      <c r="BQ21" s="33"/>
      <c r="BR21" s="33"/>
      <c r="BS21" s="33"/>
      <c r="BT21" s="33"/>
      <c r="BU21" s="33"/>
      <c r="BV21" s="33"/>
      <c r="BW21" s="33"/>
      <c r="BX21" s="33"/>
      <c r="BY21" s="33"/>
      <c r="BZ21" s="33"/>
      <c r="CA21" s="33"/>
      <c r="CB21" s="33"/>
      <c r="CC21" s="33"/>
      <c r="CD21" s="33"/>
      <c r="CE21" s="33"/>
      <c r="CF21" s="33"/>
      <c r="CG21" s="33"/>
      <c r="CH21" s="33"/>
      <c r="CI21" s="33"/>
      <c r="CJ21" s="33"/>
      <c r="CK21" s="33"/>
      <c r="CL21" s="33"/>
      <c r="CM21" s="33"/>
      <c r="CN21" s="33"/>
      <c r="CO21" s="33"/>
      <c r="CP21" s="33"/>
    </row>
    <row r="22" spans="1:94" ht="30" customHeight="1" x14ac:dyDescent="0.25">
      <c r="A22" s="13"/>
      <c r="B22" s="16"/>
      <c r="C22" s="33"/>
      <c r="D22" s="33"/>
      <c r="E22" s="33"/>
      <c r="F22" s="33"/>
      <c r="G22" s="33"/>
      <c r="H22" s="33"/>
      <c r="I22" s="33"/>
      <c r="J22" s="33"/>
      <c r="K22" s="33"/>
      <c r="L22" s="33"/>
      <c r="M22" s="33"/>
      <c r="N22" s="33"/>
      <c r="O22" s="33"/>
      <c r="P22" s="33"/>
      <c r="Q22" s="33"/>
      <c r="R22" s="33"/>
      <c r="S22" s="33"/>
      <c r="T22" s="33"/>
      <c r="U22" s="33"/>
      <c r="V22" s="33"/>
      <c r="W22" s="33"/>
      <c r="X22" s="33"/>
      <c r="Y22" s="33"/>
      <c r="Z22" s="33"/>
      <c r="AA22" s="33"/>
      <c r="AB22" s="33"/>
      <c r="AC22" s="33"/>
      <c r="AD22" s="33"/>
      <c r="AE22" s="33"/>
      <c r="AF22" s="33"/>
      <c r="AG22" s="33"/>
      <c r="AH22" s="33"/>
      <c r="AI22" s="33"/>
      <c r="AJ22" s="33"/>
      <c r="AK22" s="33"/>
      <c r="AL22" s="33"/>
      <c r="AM22" s="33"/>
      <c r="AN22" s="33"/>
      <c r="AO22" s="33"/>
      <c r="AP22" s="33"/>
      <c r="AQ22" s="33"/>
      <c r="AR22" s="33"/>
      <c r="AS22" s="33"/>
      <c r="AT22" s="33"/>
      <c r="AU22" s="33"/>
      <c r="AV22" s="33"/>
      <c r="AW22" s="33"/>
      <c r="AX22" s="33"/>
      <c r="AY22" s="33"/>
      <c r="AZ22" s="33"/>
      <c r="BA22" s="33"/>
      <c r="BB22" s="33"/>
      <c r="BC22" s="33"/>
      <c r="BD22" s="33"/>
      <c r="BE22" s="33"/>
      <c r="BF22" s="33"/>
      <c r="BG22" s="33"/>
      <c r="BH22" s="33"/>
      <c r="BI22" s="33"/>
      <c r="BJ22" s="33"/>
      <c r="BK22" s="33"/>
      <c r="BL22" s="33"/>
      <c r="BM22" s="33"/>
      <c r="BN22" s="33"/>
      <c r="BO22" s="33"/>
      <c r="BP22" s="33"/>
      <c r="BQ22" s="33"/>
      <c r="BR22" s="33"/>
      <c r="BS22" s="33"/>
      <c r="BT22" s="33"/>
      <c r="BU22" s="33"/>
      <c r="BV22" s="33"/>
      <c r="BW22" s="33"/>
      <c r="BX22" s="33"/>
      <c r="BY22" s="33"/>
      <c r="BZ22" s="33"/>
      <c r="CA22" s="33"/>
      <c r="CB22" s="33"/>
      <c r="CC22" s="33"/>
      <c r="CD22" s="33"/>
      <c r="CE22" s="33"/>
      <c r="CF22" s="33"/>
      <c r="CG22" s="33"/>
      <c r="CH22" s="33"/>
      <c r="CI22" s="33"/>
      <c r="CJ22" s="33"/>
      <c r="CK22" s="33"/>
      <c r="CL22" s="33"/>
      <c r="CM22" s="33"/>
      <c r="CN22" s="33"/>
      <c r="CO22" s="33"/>
      <c r="CP22" s="33"/>
    </row>
    <row r="23" spans="1:94" ht="30" customHeight="1" x14ac:dyDescent="0.25">
      <c r="A23" s="13"/>
      <c r="B23" s="16"/>
      <c r="C23" s="33"/>
      <c r="D23" s="33"/>
      <c r="E23" s="33"/>
      <c r="F23" s="33"/>
      <c r="G23" s="33"/>
      <c r="H23" s="33"/>
      <c r="I23" s="33"/>
      <c r="J23" s="33"/>
      <c r="K23" s="33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3"/>
      <c r="AG23" s="33"/>
      <c r="AH23" s="33"/>
      <c r="AI23" s="33"/>
      <c r="AJ23" s="33"/>
      <c r="AK23" s="33"/>
      <c r="AL23" s="33"/>
      <c r="AM23" s="33"/>
      <c r="AN23" s="33"/>
      <c r="AO23" s="33"/>
      <c r="AP23" s="33"/>
      <c r="AQ23" s="33"/>
      <c r="AR23" s="33"/>
      <c r="AS23" s="33"/>
      <c r="AT23" s="33"/>
      <c r="AU23" s="33"/>
      <c r="AV23" s="33"/>
      <c r="AW23" s="33"/>
      <c r="AX23" s="33"/>
      <c r="AY23" s="33"/>
      <c r="AZ23" s="33"/>
      <c r="BA23" s="33"/>
      <c r="BB23" s="33"/>
      <c r="BC23" s="33"/>
      <c r="BD23" s="33"/>
      <c r="BE23" s="33"/>
      <c r="BF23" s="33"/>
      <c r="BG23" s="33"/>
      <c r="BH23" s="33"/>
      <c r="BI23" s="33"/>
      <c r="BJ23" s="33"/>
      <c r="BK23" s="33"/>
      <c r="BL23" s="33"/>
      <c r="BM23" s="33"/>
      <c r="BN23" s="33"/>
      <c r="BO23" s="33"/>
      <c r="BP23" s="33"/>
      <c r="BQ23" s="33"/>
      <c r="BR23" s="33"/>
      <c r="BS23" s="33"/>
      <c r="BT23" s="33"/>
      <c r="BU23" s="33"/>
      <c r="BV23" s="33"/>
      <c r="BW23" s="33"/>
      <c r="BX23" s="33"/>
      <c r="BY23" s="33"/>
      <c r="BZ23" s="33"/>
      <c r="CA23" s="33"/>
      <c r="CB23" s="33"/>
      <c r="CC23" s="33"/>
      <c r="CD23" s="33"/>
      <c r="CE23" s="33"/>
      <c r="CF23" s="33"/>
      <c r="CG23" s="33"/>
      <c r="CH23" s="33"/>
      <c r="CI23" s="33"/>
      <c r="CJ23" s="33"/>
      <c r="CK23" s="33"/>
      <c r="CL23" s="33"/>
      <c r="CM23" s="33"/>
      <c r="CN23" s="33"/>
      <c r="CO23" s="33"/>
      <c r="CP23" s="33"/>
    </row>
    <row r="24" spans="1:94" ht="30" customHeight="1" x14ac:dyDescent="0.25">
      <c r="A24" s="13"/>
      <c r="B24" s="16"/>
      <c r="C24" s="33"/>
      <c r="D24" s="33"/>
      <c r="E24" s="33"/>
      <c r="F24" s="33"/>
      <c r="G24" s="33"/>
      <c r="H24" s="33"/>
      <c r="I24" s="33"/>
      <c r="J24" s="33"/>
      <c r="K24" s="33"/>
      <c r="L24" s="33"/>
      <c r="M24" s="33"/>
      <c r="N24" s="33"/>
      <c r="O24" s="33"/>
      <c r="P24" s="33"/>
      <c r="Q24" s="33"/>
      <c r="R24" s="33"/>
      <c r="S24" s="33"/>
      <c r="T24" s="33"/>
      <c r="U24" s="33"/>
      <c r="V24" s="33"/>
      <c r="W24" s="33"/>
      <c r="X24" s="33"/>
      <c r="Y24" s="33"/>
      <c r="Z24" s="33"/>
      <c r="AA24" s="33"/>
      <c r="AB24" s="33"/>
      <c r="AC24" s="33"/>
      <c r="AD24" s="33"/>
      <c r="AE24" s="33"/>
      <c r="AF24" s="33"/>
      <c r="AG24" s="33"/>
      <c r="AH24" s="33"/>
      <c r="AI24" s="33"/>
      <c r="AJ24" s="33"/>
      <c r="AK24" s="33"/>
      <c r="AL24" s="33"/>
      <c r="AM24" s="33"/>
      <c r="AN24" s="33"/>
      <c r="AO24" s="33"/>
      <c r="AP24" s="33"/>
      <c r="AQ24" s="33"/>
      <c r="AR24" s="33"/>
      <c r="AS24" s="33"/>
      <c r="AT24" s="33"/>
      <c r="AU24" s="33"/>
      <c r="AV24" s="33"/>
      <c r="AW24" s="33"/>
      <c r="AX24" s="33"/>
      <c r="AY24" s="33"/>
      <c r="AZ24" s="33"/>
      <c r="BA24" s="33"/>
      <c r="BB24" s="33"/>
      <c r="BC24" s="33"/>
      <c r="BD24" s="33"/>
      <c r="BE24" s="33"/>
      <c r="BF24" s="33"/>
      <c r="BG24" s="33"/>
      <c r="BH24" s="33"/>
      <c r="BI24" s="33"/>
      <c r="BJ24" s="33"/>
      <c r="BK24" s="33"/>
      <c r="BL24" s="33"/>
      <c r="BM24" s="33"/>
      <c r="BN24" s="33"/>
      <c r="BO24" s="33"/>
      <c r="BP24" s="33"/>
      <c r="BQ24" s="33"/>
      <c r="BR24" s="33"/>
      <c r="BS24" s="33"/>
      <c r="BT24" s="33"/>
      <c r="BU24" s="33"/>
      <c r="BV24" s="33"/>
      <c r="BW24" s="33"/>
      <c r="BX24" s="33"/>
      <c r="BY24" s="33"/>
      <c r="BZ24" s="33"/>
      <c r="CA24" s="33"/>
      <c r="CB24" s="33"/>
      <c r="CC24" s="33"/>
      <c r="CD24" s="33"/>
      <c r="CE24" s="33"/>
      <c r="CF24" s="33"/>
      <c r="CG24" s="33"/>
      <c r="CH24" s="33"/>
      <c r="CI24" s="33"/>
      <c r="CJ24" s="33"/>
      <c r="CK24" s="33"/>
      <c r="CL24" s="33"/>
      <c r="CM24" s="33"/>
      <c r="CN24" s="33"/>
      <c r="CO24" s="33"/>
      <c r="CP24" s="33"/>
    </row>
    <row r="25" spans="1:94" ht="30" customHeight="1" x14ac:dyDescent="0.25">
      <c r="A25" s="13"/>
      <c r="B25" s="16"/>
      <c r="C25" s="33"/>
      <c r="D25" s="33"/>
      <c r="E25" s="33"/>
      <c r="F25" s="33"/>
      <c r="G25" s="33"/>
      <c r="H25" s="33"/>
      <c r="I25" s="33"/>
      <c r="J25" s="33"/>
      <c r="K25" s="33"/>
      <c r="L25" s="33"/>
      <c r="M25" s="33"/>
      <c r="N25" s="33"/>
      <c r="O25" s="33"/>
      <c r="P25" s="33"/>
      <c r="Q25" s="33"/>
      <c r="R25" s="33"/>
      <c r="S25" s="33"/>
      <c r="T25" s="33"/>
      <c r="U25" s="33"/>
      <c r="V25" s="33"/>
      <c r="W25" s="33"/>
      <c r="X25" s="33"/>
      <c r="Y25" s="33"/>
      <c r="Z25" s="33"/>
      <c r="AA25" s="33"/>
      <c r="AB25" s="33"/>
      <c r="AC25" s="33"/>
      <c r="AD25" s="33"/>
      <c r="AE25" s="33"/>
      <c r="AF25" s="33"/>
      <c r="AG25" s="33"/>
      <c r="AH25" s="33"/>
      <c r="AI25" s="33"/>
      <c r="AJ25" s="33"/>
      <c r="AK25" s="33"/>
      <c r="AL25" s="33"/>
      <c r="AM25" s="33"/>
      <c r="AN25" s="33"/>
      <c r="AO25" s="33"/>
      <c r="AP25" s="33"/>
      <c r="AQ25" s="33"/>
      <c r="AR25" s="33"/>
      <c r="AS25" s="33"/>
      <c r="AT25" s="33"/>
      <c r="AU25" s="33"/>
      <c r="AV25" s="33"/>
      <c r="AW25" s="33"/>
      <c r="AX25" s="33"/>
      <c r="AY25" s="33"/>
      <c r="AZ25" s="33"/>
      <c r="BA25" s="33"/>
      <c r="BB25" s="33"/>
      <c r="BC25" s="33"/>
      <c r="BD25" s="33"/>
      <c r="BE25" s="33"/>
      <c r="BF25" s="33"/>
      <c r="BG25" s="33"/>
      <c r="BH25" s="33"/>
      <c r="BI25" s="33"/>
      <c r="BJ25" s="33"/>
      <c r="BK25" s="33"/>
      <c r="BL25" s="33"/>
      <c r="BM25" s="33"/>
      <c r="BN25" s="33"/>
      <c r="BO25" s="33"/>
      <c r="BP25" s="33"/>
      <c r="BQ25" s="33"/>
      <c r="BR25" s="33"/>
      <c r="BS25" s="33"/>
      <c r="BT25" s="33"/>
      <c r="BU25" s="33"/>
      <c r="BV25" s="33"/>
      <c r="BW25" s="33"/>
      <c r="BX25" s="33"/>
      <c r="BY25" s="33"/>
      <c r="BZ25" s="33"/>
      <c r="CA25" s="33"/>
      <c r="CB25" s="33"/>
      <c r="CC25" s="33"/>
      <c r="CD25" s="33"/>
      <c r="CE25" s="33"/>
      <c r="CF25" s="33"/>
      <c r="CG25" s="33"/>
      <c r="CH25" s="33"/>
      <c r="CI25" s="33"/>
      <c r="CJ25" s="33"/>
      <c r="CK25" s="33"/>
      <c r="CL25" s="33"/>
      <c r="CM25" s="33"/>
      <c r="CN25" s="33"/>
      <c r="CO25" s="33"/>
      <c r="CP25" s="33"/>
    </row>
    <row r="26" spans="1:94" ht="30" customHeight="1" x14ac:dyDescent="0.25">
      <c r="A26" s="13"/>
      <c r="B26" s="16"/>
      <c r="C26" s="33"/>
      <c r="D26" s="33"/>
      <c r="E26" s="33"/>
      <c r="F26" s="33"/>
      <c r="G26" s="33"/>
      <c r="H26" s="33"/>
      <c r="I26" s="33"/>
      <c r="J26" s="33"/>
      <c r="K26" s="33"/>
      <c r="L26" s="33"/>
      <c r="M26" s="33"/>
      <c r="N26" s="33"/>
      <c r="O26" s="33"/>
      <c r="P26" s="33"/>
      <c r="Q26" s="33"/>
      <c r="R26" s="33"/>
      <c r="S26" s="33"/>
      <c r="T26" s="33"/>
      <c r="U26" s="33"/>
      <c r="V26" s="33"/>
      <c r="W26" s="33"/>
      <c r="X26" s="33"/>
      <c r="Y26" s="33"/>
      <c r="Z26" s="33"/>
      <c r="AA26" s="33"/>
      <c r="AB26" s="33"/>
      <c r="AC26" s="33"/>
      <c r="AD26" s="33"/>
      <c r="AE26" s="33"/>
      <c r="AF26" s="33"/>
      <c r="AG26" s="33"/>
      <c r="AH26" s="33"/>
      <c r="AI26" s="33"/>
      <c r="AJ26" s="33"/>
      <c r="AK26" s="33"/>
      <c r="AL26" s="33"/>
      <c r="AM26" s="33"/>
      <c r="AN26" s="33"/>
      <c r="AO26" s="33"/>
      <c r="AP26" s="33"/>
      <c r="AQ26" s="33"/>
      <c r="AR26" s="33"/>
      <c r="AS26" s="33"/>
      <c r="AT26" s="33"/>
      <c r="AU26" s="33"/>
      <c r="AV26" s="33"/>
      <c r="AW26" s="33"/>
      <c r="AX26" s="33"/>
      <c r="AY26" s="33"/>
      <c r="AZ26" s="33"/>
      <c r="BA26" s="33"/>
      <c r="BB26" s="33"/>
      <c r="BC26" s="33"/>
      <c r="BD26" s="33"/>
      <c r="BE26" s="33"/>
      <c r="BF26" s="33"/>
      <c r="BG26" s="33"/>
      <c r="BH26" s="33"/>
      <c r="BI26" s="33"/>
      <c r="BJ26" s="33"/>
      <c r="BK26" s="33"/>
      <c r="BL26" s="33"/>
      <c r="BM26" s="33"/>
      <c r="BN26" s="33"/>
      <c r="BO26" s="33"/>
      <c r="BP26" s="33"/>
      <c r="BQ26" s="33"/>
      <c r="BR26" s="33"/>
      <c r="BS26" s="33"/>
      <c r="BT26" s="33"/>
      <c r="BU26" s="33"/>
      <c r="BV26" s="33"/>
      <c r="BW26" s="33"/>
      <c r="BX26" s="33"/>
      <c r="BY26" s="33"/>
      <c r="BZ26" s="33"/>
      <c r="CA26" s="33"/>
      <c r="CB26" s="33"/>
      <c r="CC26" s="33"/>
      <c r="CD26" s="33"/>
      <c r="CE26" s="33"/>
      <c r="CF26" s="33"/>
      <c r="CG26" s="33"/>
      <c r="CH26" s="33"/>
      <c r="CI26" s="33"/>
      <c r="CJ26" s="33"/>
      <c r="CK26" s="33"/>
      <c r="CL26" s="33"/>
      <c r="CM26" s="33"/>
      <c r="CN26" s="33"/>
      <c r="CO26" s="33"/>
      <c r="CP26" s="33"/>
    </row>
    <row r="27" spans="1:94" ht="30" customHeight="1" x14ac:dyDescent="0.25">
      <c r="A27" s="13"/>
      <c r="B27" s="16"/>
      <c r="C27" s="33"/>
      <c r="D27" s="33"/>
      <c r="E27" s="33"/>
      <c r="F27" s="33"/>
      <c r="G27" s="33"/>
      <c r="H27" s="33"/>
      <c r="I27" s="33"/>
      <c r="J27" s="33"/>
      <c r="K27" s="33"/>
      <c r="L27" s="33"/>
      <c r="M27" s="33"/>
      <c r="N27" s="33"/>
      <c r="O27" s="33"/>
      <c r="P27" s="33"/>
      <c r="Q27" s="33"/>
      <c r="R27" s="33"/>
      <c r="S27" s="33"/>
      <c r="T27" s="33"/>
      <c r="U27" s="33"/>
      <c r="V27" s="33"/>
      <c r="W27" s="33"/>
      <c r="X27" s="33"/>
      <c r="Y27" s="33"/>
      <c r="Z27" s="33"/>
      <c r="AA27" s="33"/>
      <c r="AB27" s="33"/>
      <c r="AC27" s="33"/>
      <c r="AD27" s="33"/>
      <c r="AE27" s="33"/>
      <c r="AF27" s="33"/>
      <c r="AG27" s="33"/>
      <c r="AH27" s="33"/>
      <c r="AI27" s="33"/>
      <c r="AJ27" s="33"/>
      <c r="AK27" s="33"/>
      <c r="AL27" s="33"/>
      <c r="AM27" s="33"/>
      <c r="AN27" s="33"/>
      <c r="AO27" s="33"/>
      <c r="AP27" s="33"/>
      <c r="AQ27" s="33"/>
      <c r="AR27" s="33"/>
      <c r="AS27" s="33"/>
      <c r="AT27" s="33"/>
      <c r="AU27" s="33"/>
      <c r="AV27" s="33"/>
      <c r="AW27" s="33"/>
      <c r="AX27" s="33"/>
      <c r="AY27" s="33"/>
      <c r="AZ27" s="33"/>
      <c r="BA27" s="33"/>
      <c r="BB27" s="33"/>
      <c r="BC27" s="33"/>
      <c r="BD27" s="33"/>
      <c r="BE27" s="33"/>
      <c r="BF27" s="33"/>
      <c r="BG27" s="33"/>
      <c r="BH27" s="33"/>
      <c r="BI27" s="33"/>
      <c r="BJ27" s="33"/>
      <c r="BK27" s="33"/>
      <c r="BL27" s="33"/>
      <c r="BM27" s="33"/>
      <c r="BN27" s="33"/>
      <c r="BO27" s="33"/>
      <c r="BP27" s="33"/>
      <c r="BQ27" s="33"/>
      <c r="BR27" s="33"/>
      <c r="BS27" s="33"/>
      <c r="BT27" s="33"/>
      <c r="BU27" s="33"/>
      <c r="BV27" s="33"/>
      <c r="BW27" s="33"/>
      <c r="BX27" s="33"/>
      <c r="BY27" s="33"/>
      <c r="BZ27" s="33"/>
      <c r="CA27" s="33"/>
      <c r="CB27" s="33"/>
      <c r="CC27" s="33"/>
      <c r="CD27" s="33"/>
      <c r="CE27" s="33"/>
      <c r="CF27" s="33"/>
      <c r="CG27" s="33"/>
      <c r="CH27" s="33"/>
      <c r="CI27" s="33"/>
      <c r="CJ27" s="33"/>
      <c r="CK27" s="33"/>
      <c r="CL27" s="33"/>
      <c r="CM27" s="33"/>
      <c r="CN27" s="33"/>
      <c r="CO27" s="33"/>
      <c r="CP27" s="33"/>
    </row>
    <row r="28" spans="1:94" ht="30" customHeight="1" x14ac:dyDescent="0.25">
      <c r="A28" s="13"/>
      <c r="B28" s="16"/>
      <c r="C28" s="33"/>
      <c r="D28" s="33"/>
      <c r="E28" s="33"/>
      <c r="F28" s="33"/>
      <c r="G28" s="33"/>
      <c r="H28" s="33"/>
      <c r="I28" s="33"/>
      <c r="J28" s="33"/>
      <c r="K28" s="33"/>
      <c r="L28" s="33"/>
      <c r="M28" s="33"/>
      <c r="N28" s="33"/>
      <c r="O28" s="33"/>
      <c r="P28" s="33"/>
      <c r="Q28" s="33"/>
      <c r="R28" s="33"/>
      <c r="S28" s="33"/>
      <c r="T28" s="33"/>
      <c r="U28" s="33"/>
      <c r="V28" s="33"/>
      <c r="W28" s="33"/>
      <c r="X28" s="33"/>
      <c r="Y28" s="33"/>
      <c r="Z28" s="33"/>
      <c r="AA28" s="33"/>
      <c r="AB28" s="33"/>
      <c r="AC28" s="33"/>
      <c r="AD28" s="33"/>
      <c r="AE28" s="33"/>
      <c r="AF28" s="33"/>
      <c r="AG28" s="33"/>
      <c r="AH28" s="33"/>
      <c r="AI28" s="33"/>
      <c r="AJ28" s="33"/>
      <c r="AK28" s="33"/>
      <c r="AL28" s="33"/>
      <c r="AM28" s="33"/>
      <c r="AN28" s="33"/>
      <c r="AO28" s="33"/>
      <c r="AP28" s="33"/>
      <c r="AQ28" s="33"/>
      <c r="AR28" s="33"/>
      <c r="AS28" s="33"/>
      <c r="AT28" s="33"/>
      <c r="AU28" s="33"/>
      <c r="AV28" s="33"/>
      <c r="AW28" s="33"/>
      <c r="AX28" s="33"/>
      <c r="AY28" s="33"/>
      <c r="AZ28" s="33"/>
      <c r="BA28" s="33"/>
      <c r="BB28" s="33"/>
      <c r="BC28" s="33"/>
      <c r="BD28" s="33"/>
      <c r="BE28" s="33"/>
      <c r="BF28" s="33"/>
      <c r="BG28" s="33"/>
      <c r="BH28" s="33"/>
      <c r="BI28" s="33"/>
      <c r="BJ28" s="33"/>
      <c r="BK28" s="33"/>
      <c r="BL28" s="33"/>
      <c r="BM28" s="33"/>
      <c r="BN28" s="33"/>
      <c r="BO28" s="33"/>
      <c r="BP28" s="33"/>
      <c r="BQ28" s="33"/>
      <c r="BR28" s="33"/>
      <c r="BS28" s="33"/>
      <c r="BT28" s="33"/>
      <c r="BU28" s="33"/>
      <c r="BV28" s="33"/>
      <c r="BW28" s="33"/>
      <c r="BX28" s="33"/>
      <c r="BY28" s="33"/>
      <c r="BZ28" s="33"/>
      <c r="CA28" s="33"/>
      <c r="CB28" s="33"/>
      <c r="CC28" s="33"/>
      <c r="CD28" s="33"/>
      <c r="CE28" s="33"/>
      <c r="CF28" s="33"/>
      <c r="CG28" s="33"/>
      <c r="CH28" s="33"/>
      <c r="CI28" s="33"/>
      <c r="CJ28" s="33"/>
      <c r="CK28" s="33"/>
      <c r="CL28" s="33"/>
      <c r="CM28" s="33"/>
      <c r="CN28" s="33"/>
      <c r="CO28" s="33"/>
      <c r="CP28" s="33"/>
    </row>
    <row r="29" spans="1:94" ht="30" customHeight="1" x14ac:dyDescent="0.25">
      <c r="A29" s="13"/>
      <c r="B29" s="16"/>
      <c r="C29" s="33"/>
      <c r="D29" s="33"/>
      <c r="E29" s="33"/>
      <c r="F29" s="33"/>
      <c r="G29" s="33"/>
      <c r="H29" s="33"/>
      <c r="I29" s="33"/>
      <c r="J29" s="33"/>
      <c r="K29" s="33"/>
      <c r="L29" s="33"/>
      <c r="M29" s="33"/>
      <c r="N29" s="33"/>
      <c r="O29" s="33"/>
      <c r="P29" s="33"/>
      <c r="Q29" s="33"/>
      <c r="R29" s="33"/>
      <c r="S29" s="33"/>
      <c r="T29" s="33"/>
      <c r="U29" s="33"/>
      <c r="V29" s="33"/>
      <c r="W29" s="33"/>
      <c r="X29" s="33"/>
      <c r="Y29" s="33"/>
      <c r="Z29" s="33"/>
      <c r="AA29" s="33"/>
      <c r="AB29" s="33"/>
      <c r="AC29" s="33"/>
      <c r="AD29" s="33"/>
      <c r="AE29" s="33"/>
      <c r="AF29" s="33"/>
      <c r="AG29" s="33"/>
      <c r="AH29" s="33"/>
      <c r="AI29" s="33"/>
      <c r="AJ29" s="33"/>
      <c r="AK29" s="33"/>
      <c r="AL29" s="33"/>
      <c r="AM29" s="33"/>
      <c r="AN29" s="33"/>
      <c r="AO29" s="33"/>
      <c r="AP29" s="33"/>
      <c r="AQ29" s="33"/>
      <c r="AR29" s="33"/>
      <c r="AS29" s="33"/>
      <c r="AT29" s="33"/>
      <c r="AU29" s="33"/>
      <c r="AV29" s="33"/>
      <c r="AW29" s="33"/>
      <c r="AX29" s="33"/>
      <c r="AY29" s="33"/>
      <c r="AZ29" s="33"/>
      <c r="BA29" s="33"/>
      <c r="BB29" s="33"/>
      <c r="BC29" s="33"/>
      <c r="BD29" s="33"/>
      <c r="BE29" s="33"/>
      <c r="BF29" s="33"/>
      <c r="BG29" s="33"/>
      <c r="BH29" s="33"/>
      <c r="BI29" s="33"/>
      <c r="BJ29" s="33"/>
      <c r="BK29" s="33"/>
      <c r="BL29" s="33"/>
      <c r="BM29" s="33"/>
      <c r="BN29" s="33"/>
      <c r="BO29" s="33"/>
      <c r="BP29" s="33"/>
      <c r="BQ29" s="33"/>
      <c r="BR29" s="33"/>
      <c r="BS29" s="33"/>
      <c r="BT29" s="33"/>
      <c r="BU29" s="33"/>
      <c r="BV29" s="33"/>
      <c r="BW29" s="33"/>
      <c r="BX29" s="33"/>
      <c r="BY29" s="33"/>
      <c r="BZ29" s="33"/>
      <c r="CA29" s="33"/>
      <c r="CB29" s="33"/>
      <c r="CC29" s="33"/>
      <c r="CD29" s="33"/>
      <c r="CE29" s="33"/>
      <c r="CF29" s="33"/>
      <c r="CG29" s="33"/>
      <c r="CH29" s="33"/>
      <c r="CI29" s="33"/>
      <c r="CJ29" s="33"/>
      <c r="CK29" s="33"/>
      <c r="CL29" s="33"/>
      <c r="CM29" s="33"/>
      <c r="CN29" s="33"/>
      <c r="CO29" s="33"/>
      <c r="CP29" s="33"/>
    </row>
    <row r="30" spans="1:94" ht="30" customHeight="1" x14ac:dyDescent="0.25">
      <c r="A30" s="13"/>
      <c r="B30" s="16"/>
      <c r="C30" s="33"/>
      <c r="D30" s="33"/>
      <c r="E30" s="33"/>
      <c r="F30" s="33"/>
      <c r="G30" s="33"/>
      <c r="H30" s="33"/>
      <c r="I30" s="33"/>
      <c r="J30" s="33"/>
      <c r="K30" s="33"/>
      <c r="L30" s="33"/>
      <c r="M30" s="33"/>
      <c r="N30" s="33"/>
      <c r="O30" s="33"/>
      <c r="P30" s="33"/>
      <c r="Q30" s="33"/>
      <c r="R30" s="33"/>
      <c r="S30" s="33"/>
      <c r="T30" s="33"/>
      <c r="U30" s="33"/>
      <c r="V30" s="33"/>
      <c r="W30" s="33"/>
      <c r="X30" s="33"/>
      <c r="Y30" s="33"/>
      <c r="Z30" s="33"/>
      <c r="AA30" s="33"/>
      <c r="AB30" s="33"/>
      <c r="AC30" s="33"/>
      <c r="AD30" s="33"/>
      <c r="AE30" s="33"/>
      <c r="AF30" s="33"/>
      <c r="AG30" s="33"/>
      <c r="AH30" s="33"/>
      <c r="AI30" s="33"/>
      <c r="AJ30" s="33"/>
      <c r="AK30" s="33"/>
      <c r="AL30" s="33"/>
      <c r="AM30" s="33"/>
      <c r="AN30" s="33"/>
      <c r="AO30" s="33"/>
      <c r="AP30" s="33"/>
      <c r="AQ30" s="33"/>
      <c r="AR30" s="33"/>
      <c r="AS30" s="33"/>
      <c r="AT30" s="33"/>
      <c r="AU30" s="33"/>
      <c r="AV30" s="33"/>
      <c r="AW30" s="33"/>
      <c r="AX30" s="33"/>
      <c r="AY30" s="33"/>
      <c r="AZ30" s="33"/>
      <c r="BA30" s="33"/>
      <c r="BB30" s="33"/>
      <c r="BC30" s="33"/>
      <c r="BD30" s="33"/>
      <c r="BE30" s="33"/>
      <c r="BF30" s="33"/>
      <c r="BG30" s="33"/>
      <c r="BH30" s="33"/>
      <c r="BI30" s="33"/>
      <c r="BJ30" s="33"/>
      <c r="BK30" s="33"/>
      <c r="BL30" s="33"/>
      <c r="BM30" s="33"/>
      <c r="BN30" s="33"/>
      <c r="BO30" s="33"/>
      <c r="BP30" s="33"/>
      <c r="BQ30" s="33"/>
      <c r="BR30" s="33"/>
      <c r="BS30" s="33"/>
      <c r="BT30" s="33"/>
      <c r="BU30" s="33"/>
      <c r="BV30" s="33"/>
      <c r="BW30" s="33"/>
      <c r="BX30" s="33"/>
      <c r="BY30" s="33"/>
      <c r="BZ30" s="33"/>
      <c r="CA30" s="33"/>
      <c r="CB30" s="33"/>
      <c r="CC30" s="33"/>
      <c r="CD30" s="33"/>
      <c r="CE30" s="33"/>
      <c r="CF30" s="33"/>
      <c r="CG30" s="33"/>
      <c r="CH30" s="33"/>
      <c r="CI30" s="33"/>
      <c r="CJ30" s="33"/>
      <c r="CK30" s="33"/>
      <c r="CL30" s="33"/>
      <c r="CM30" s="33"/>
      <c r="CN30" s="33"/>
      <c r="CO30" s="33"/>
      <c r="CP30" s="33"/>
    </row>
    <row r="31" spans="1:94" ht="30" customHeight="1" x14ac:dyDescent="0.25">
      <c r="A31" s="13"/>
      <c r="B31" s="16"/>
      <c r="C31" s="33"/>
      <c r="D31" s="33"/>
      <c r="E31" s="33"/>
      <c r="F31" s="33"/>
      <c r="G31" s="33"/>
      <c r="H31" s="33"/>
      <c r="I31" s="33"/>
      <c r="J31" s="33"/>
      <c r="K31" s="33"/>
      <c r="L31" s="33"/>
      <c r="M31" s="33"/>
      <c r="N31" s="33"/>
      <c r="O31" s="33"/>
      <c r="P31" s="33"/>
      <c r="Q31" s="33"/>
      <c r="R31" s="33"/>
      <c r="S31" s="33"/>
      <c r="T31" s="33"/>
      <c r="U31" s="33"/>
      <c r="V31" s="33"/>
      <c r="W31" s="33"/>
      <c r="X31" s="33"/>
      <c r="Y31" s="33"/>
      <c r="Z31" s="33"/>
      <c r="AA31" s="33"/>
      <c r="AB31" s="33"/>
      <c r="AC31" s="33"/>
      <c r="AD31" s="33"/>
      <c r="AE31" s="33"/>
      <c r="AF31" s="33"/>
      <c r="AG31" s="33"/>
      <c r="AH31" s="33"/>
      <c r="AI31" s="33"/>
      <c r="AJ31" s="33"/>
      <c r="AK31" s="33"/>
      <c r="AL31" s="33"/>
      <c r="AM31" s="33"/>
      <c r="AN31" s="33"/>
      <c r="AO31" s="33"/>
      <c r="AP31" s="33"/>
      <c r="AQ31" s="33"/>
      <c r="AR31" s="33"/>
      <c r="AS31" s="33"/>
      <c r="AT31" s="33"/>
      <c r="AU31" s="33"/>
      <c r="AV31" s="33"/>
      <c r="AW31" s="33"/>
      <c r="AX31" s="33"/>
      <c r="AY31" s="33"/>
      <c r="AZ31" s="33"/>
      <c r="BA31" s="33"/>
      <c r="BB31" s="33"/>
      <c r="BC31" s="33"/>
      <c r="BD31" s="33"/>
      <c r="BE31" s="33"/>
      <c r="BF31" s="33"/>
      <c r="BG31" s="33"/>
      <c r="BH31" s="33"/>
      <c r="BI31" s="33"/>
      <c r="BJ31" s="33"/>
      <c r="BK31" s="33"/>
      <c r="BL31" s="33"/>
      <c r="BM31" s="33"/>
      <c r="BN31" s="33"/>
      <c r="BO31" s="33"/>
      <c r="BP31" s="33"/>
      <c r="BQ31" s="33"/>
      <c r="BR31" s="33"/>
      <c r="BS31" s="33"/>
      <c r="BT31" s="33"/>
      <c r="BU31" s="33"/>
      <c r="BV31" s="33"/>
      <c r="BW31" s="33"/>
      <c r="BX31" s="33"/>
      <c r="BY31" s="33"/>
      <c r="BZ31" s="33"/>
      <c r="CA31" s="33"/>
      <c r="CB31" s="33"/>
      <c r="CC31" s="33"/>
      <c r="CD31" s="33"/>
      <c r="CE31" s="33"/>
      <c r="CF31" s="33"/>
      <c r="CG31" s="33"/>
      <c r="CH31" s="33"/>
      <c r="CI31" s="33"/>
      <c r="CJ31" s="33"/>
      <c r="CK31" s="33"/>
      <c r="CL31" s="33"/>
      <c r="CM31" s="33"/>
      <c r="CN31" s="33"/>
      <c r="CO31" s="33"/>
      <c r="CP31" s="33"/>
    </row>
    <row r="32" spans="1:94" ht="30" customHeight="1" x14ac:dyDescent="0.25">
      <c r="A32" s="13"/>
      <c r="B32" s="16"/>
      <c r="C32" s="33"/>
      <c r="D32" s="33"/>
      <c r="E32" s="33"/>
      <c r="F32" s="33"/>
      <c r="G32" s="33"/>
      <c r="H32" s="33"/>
      <c r="I32" s="33"/>
      <c r="J32" s="33"/>
      <c r="K32" s="33"/>
      <c r="L32" s="33"/>
      <c r="M32" s="33"/>
      <c r="N32" s="33"/>
      <c r="O32" s="33"/>
      <c r="P32" s="33"/>
      <c r="Q32" s="33"/>
      <c r="R32" s="33"/>
      <c r="S32" s="33"/>
      <c r="T32" s="33"/>
      <c r="U32" s="33"/>
      <c r="V32" s="33"/>
      <c r="W32" s="33"/>
      <c r="X32" s="33"/>
      <c r="Y32" s="33"/>
      <c r="Z32" s="33"/>
      <c r="AA32" s="33"/>
      <c r="AB32" s="33"/>
      <c r="AC32" s="33"/>
      <c r="AD32" s="33"/>
      <c r="AE32" s="33"/>
      <c r="AF32" s="33"/>
      <c r="AG32" s="33"/>
      <c r="AH32" s="33"/>
      <c r="AI32" s="33"/>
      <c r="AJ32" s="33"/>
      <c r="AK32" s="33"/>
      <c r="AL32" s="33"/>
      <c r="AM32" s="33"/>
      <c r="AN32" s="33"/>
      <c r="AO32" s="33"/>
      <c r="AP32" s="33"/>
      <c r="AQ32" s="33"/>
      <c r="AR32" s="33"/>
      <c r="AS32" s="33"/>
      <c r="AT32" s="33"/>
      <c r="AU32" s="33"/>
      <c r="AV32" s="33"/>
      <c r="AW32" s="33"/>
      <c r="AX32" s="33"/>
      <c r="AY32" s="33"/>
      <c r="AZ32" s="33"/>
      <c r="BA32" s="33"/>
      <c r="BB32" s="33"/>
      <c r="BC32" s="33"/>
      <c r="BD32" s="33"/>
      <c r="BE32" s="33"/>
      <c r="BF32" s="33"/>
      <c r="BG32" s="33"/>
      <c r="BH32" s="33"/>
      <c r="BI32" s="33"/>
      <c r="BJ32" s="33"/>
      <c r="BK32" s="33"/>
      <c r="BL32" s="33"/>
      <c r="BM32" s="33"/>
      <c r="BN32" s="33"/>
      <c r="BO32" s="33"/>
      <c r="BP32" s="33"/>
      <c r="BQ32" s="33"/>
      <c r="BR32" s="33"/>
      <c r="BS32" s="33"/>
      <c r="BT32" s="33"/>
      <c r="BU32" s="33"/>
      <c r="BV32" s="33"/>
      <c r="BW32" s="33"/>
      <c r="BX32" s="33"/>
      <c r="BY32" s="33"/>
      <c r="BZ32" s="33"/>
      <c r="CA32" s="33"/>
      <c r="CB32" s="33"/>
      <c r="CC32" s="33"/>
      <c r="CD32" s="33"/>
      <c r="CE32" s="33"/>
      <c r="CF32" s="33"/>
      <c r="CG32" s="33"/>
      <c r="CH32" s="33"/>
      <c r="CI32" s="33"/>
      <c r="CJ32" s="33"/>
      <c r="CK32" s="33"/>
      <c r="CL32" s="33"/>
      <c r="CM32" s="33"/>
      <c r="CN32" s="33"/>
      <c r="CO32" s="33"/>
      <c r="CP32" s="33"/>
    </row>
    <row r="33" spans="1:94" ht="30" customHeight="1" x14ac:dyDescent="0.25">
      <c r="A33" s="8"/>
      <c r="B33" s="1"/>
      <c r="C33" s="1"/>
      <c r="D33" s="1"/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  <c r="AB33" s="1"/>
      <c r="AC33" s="1"/>
      <c r="AD33" s="1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1"/>
      <c r="AR33" s="1"/>
      <c r="AS33" s="1"/>
      <c r="AT33" s="1"/>
      <c r="AU33" s="1"/>
      <c r="AV33" s="1"/>
      <c r="AW33" s="1"/>
      <c r="AX33" s="1"/>
      <c r="AY33" s="1"/>
      <c r="AZ33" s="1"/>
      <c r="BA33" s="1"/>
      <c r="BB33" s="1"/>
      <c r="BC33" s="1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/>
      <c r="BR33" s="1"/>
      <c r="BS33" s="1"/>
      <c r="BT33" s="1"/>
      <c r="BU33" s="1"/>
      <c r="BV33" s="1"/>
      <c r="BW33" s="1"/>
      <c r="BX33" s="1"/>
      <c r="BY33" s="1"/>
      <c r="BZ33" s="1"/>
      <c r="CA33" s="1"/>
      <c r="CB33" s="1"/>
      <c r="CC33" s="1"/>
      <c r="CD33" s="1"/>
      <c r="CE33" s="1"/>
      <c r="CF33" s="1"/>
      <c r="CG33" s="1"/>
      <c r="CH33" s="1"/>
      <c r="CI33" s="1"/>
      <c r="CJ33" s="1"/>
      <c r="CK33" s="1"/>
      <c r="CL33" s="1"/>
      <c r="CM33" s="1"/>
      <c r="CN33" s="1"/>
      <c r="CO33" s="1"/>
      <c r="CP33" s="1"/>
    </row>
    <row r="34" spans="1:94" ht="30" customHeight="1" x14ac:dyDescent="0.25">
      <c r="A34" s="18"/>
      <c r="B34" s="1"/>
      <c r="C34" s="1"/>
      <c r="D34" s="1"/>
      <c r="E34" s="1"/>
      <c r="F34" s="1"/>
      <c r="G34" s="1"/>
      <c r="H34" s="1"/>
      <c r="I34" s="1"/>
      <c r="J34" s="1"/>
      <c r="K34" s="1"/>
      <c r="L34" s="1"/>
      <c r="M34" s="41">
        <f>Q36</f>
        <v>44362</v>
      </c>
      <c r="N34" s="41"/>
      <c r="O34" s="41"/>
      <c r="P34" s="41"/>
      <c r="Q34" s="41"/>
      <c r="R34" s="41"/>
      <c r="S34" s="41"/>
      <c r="T34" s="41"/>
      <c r="U34" s="41"/>
      <c r="V34" s="1"/>
      <c r="W34" s="1"/>
      <c r="X34" s="1"/>
      <c r="Y34" s="1"/>
      <c r="Z34" s="1"/>
      <c r="AA34" s="1"/>
      <c r="AB34" s="1"/>
      <c r="AC34" s="1"/>
      <c r="AD34" s="1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1"/>
      <c r="AR34" s="41">
        <f>AV36</f>
        <v>44393</v>
      </c>
      <c r="AS34" s="41"/>
      <c r="AT34" s="41"/>
      <c r="AU34" s="41"/>
      <c r="AV34" s="41"/>
      <c r="AW34" s="41"/>
      <c r="AX34" s="41"/>
      <c r="AY34" s="41"/>
      <c r="AZ34" s="41"/>
      <c r="BA34" s="1"/>
      <c r="BB34" s="1"/>
      <c r="BC34" s="1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/>
      <c r="BR34" s="1"/>
      <c r="BS34" s="1"/>
      <c r="BT34" s="1"/>
      <c r="BU34" s="1"/>
      <c r="BV34" s="1"/>
      <c r="BW34" s="41">
        <f>CA36</f>
        <v>44424</v>
      </c>
      <c r="BX34" s="41"/>
      <c r="BY34" s="41"/>
      <c r="BZ34" s="41"/>
      <c r="CA34" s="41"/>
      <c r="CB34" s="41"/>
      <c r="CC34" s="41"/>
      <c r="CD34" s="41"/>
      <c r="CE34" s="41"/>
      <c r="CF34" s="1"/>
      <c r="CG34" s="1"/>
      <c r="CH34" s="1"/>
      <c r="CI34" s="1"/>
      <c r="CJ34" s="1"/>
      <c r="CK34" s="1"/>
      <c r="CL34" s="1"/>
      <c r="CM34" s="1"/>
      <c r="CN34" s="1"/>
      <c r="CO34" s="1"/>
      <c r="CP34" s="1"/>
    </row>
    <row r="35" spans="1:94" ht="30" customHeight="1" x14ac:dyDescent="0.25">
      <c r="A35" s="11" t="s">
        <v>0</v>
      </c>
      <c r="B35" s="3"/>
      <c r="C35" s="9">
        <f>IF(C36="","",WEEKDAY(C36))</f>
        <v>3</v>
      </c>
      <c r="D35" s="9">
        <f t="shared" ref="D35:BO35" si="7">IF(D36="","",WEEKDAY(D36))</f>
        <v>4</v>
      </c>
      <c r="E35" s="9">
        <f t="shared" si="7"/>
        <v>5</v>
      </c>
      <c r="F35" s="9">
        <f t="shared" si="7"/>
        <v>6</v>
      </c>
      <c r="G35" s="9">
        <f t="shared" si="7"/>
        <v>7</v>
      </c>
      <c r="H35" s="9">
        <f t="shared" si="7"/>
        <v>1</v>
      </c>
      <c r="I35" s="9">
        <f t="shared" si="7"/>
        <v>2</v>
      </c>
      <c r="J35" s="9">
        <f t="shared" si="7"/>
        <v>3</v>
      </c>
      <c r="K35" s="9">
        <f t="shared" si="7"/>
        <v>4</v>
      </c>
      <c r="L35" s="9">
        <f t="shared" si="7"/>
        <v>5</v>
      </c>
      <c r="M35" s="9">
        <f t="shared" si="7"/>
        <v>6</v>
      </c>
      <c r="N35" s="9">
        <f t="shared" si="7"/>
        <v>7</v>
      </c>
      <c r="O35" s="9">
        <f t="shared" si="7"/>
        <v>1</v>
      </c>
      <c r="P35" s="9">
        <f t="shared" si="7"/>
        <v>2</v>
      </c>
      <c r="Q35" s="9">
        <f t="shared" si="7"/>
        <v>3</v>
      </c>
      <c r="R35" s="9">
        <f t="shared" si="7"/>
        <v>4</v>
      </c>
      <c r="S35" s="9">
        <f t="shared" si="7"/>
        <v>5</v>
      </c>
      <c r="T35" s="9">
        <f t="shared" si="7"/>
        <v>6</v>
      </c>
      <c r="U35" s="9">
        <f t="shared" si="7"/>
        <v>7</v>
      </c>
      <c r="V35" s="9">
        <f t="shared" si="7"/>
        <v>1</v>
      </c>
      <c r="W35" s="9">
        <f t="shared" si="7"/>
        <v>2</v>
      </c>
      <c r="X35" s="9">
        <f t="shared" si="7"/>
        <v>3</v>
      </c>
      <c r="Y35" s="9">
        <f t="shared" si="7"/>
        <v>4</v>
      </c>
      <c r="Z35" s="9">
        <f t="shared" si="7"/>
        <v>5</v>
      </c>
      <c r="AA35" s="9">
        <f t="shared" si="7"/>
        <v>6</v>
      </c>
      <c r="AB35" s="9">
        <f t="shared" si="7"/>
        <v>7</v>
      </c>
      <c r="AC35" s="9">
        <f t="shared" si="7"/>
        <v>1</v>
      </c>
      <c r="AD35" s="9">
        <f t="shared" si="7"/>
        <v>2</v>
      </c>
      <c r="AE35" s="9">
        <f t="shared" si="7"/>
        <v>3</v>
      </c>
      <c r="AF35" s="9">
        <f t="shared" si="7"/>
        <v>4</v>
      </c>
      <c r="AG35" s="9">
        <f t="shared" si="7"/>
        <v>5</v>
      </c>
      <c r="AH35" s="9">
        <f t="shared" si="7"/>
        <v>6</v>
      </c>
      <c r="AI35" s="9">
        <f t="shared" si="7"/>
        <v>7</v>
      </c>
      <c r="AJ35" s="9">
        <f t="shared" si="7"/>
        <v>1</v>
      </c>
      <c r="AK35" s="9">
        <f t="shared" si="7"/>
        <v>2</v>
      </c>
      <c r="AL35" s="9">
        <f t="shared" si="7"/>
        <v>3</v>
      </c>
      <c r="AM35" s="9">
        <f t="shared" si="7"/>
        <v>4</v>
      </c>
      <c r="AN35" s="9">
        <f t="shared" si="7"/>
        <v>5</v>
      </c>
      <c r="AO35" s="9">
        <f t="shared" si="7"/>
        <v>6</v>
      </c>
      <c r="AP35" s="9">
        <f t="shared" si="7"/>
        <v>7</v>
      </c>
      <c r="AQ35" s="9">
        <f t="shared" si="7"/>
        <v>1</v>
      </c>
      <c r="AR35" s="9">
        <f t="shared" si="7"/>
        <v>2</v>
      </c>
      <c r="AS35" s="9">
        <f t="shared" si="7"/>
        <v>3</v>
      </c>
      <c r="AT35" s="9">
        <f t="shared" si="7"/>
        <v>4</v>
      </c>
      <c r="AU35" s="9">
        <f t="shared" si="7"/>
        <v>5</v>
      </c>
      <c r="AV35" s="9">
        <f t="shared" si="7"/>
        <v>6</v>
      </c>
      <c r="AW35" s="9">
        <f t="shared" si="7"/>
        <v>7</v>
      </c>
      <c r="AX35" s="9">
        <f t="shared" si="7"/>
        <v>1</v>
      </c>
      <c r="AY35" s="9">
        <f t="shared" si="7"/>
        <v>2</v>
      </c>
      <c r="AZ35" s="9">
        <f t="shared" si="7"/>
        <v>3</v>
      </c>
      <c r="BA35" s="9">
        <f t="shared" si="7"/>
        <v>4</v>
      </c>
      <c r="BB35" s="9">
        <f t="shared" si="7"/>
        <v>5</v>
      </c>
      <c r="BC35" s="9">
        <f t="shared" si="7"/>
        <v>6</v>
      </c>
      <c r="BD35" s="9">
        <f t="shared" si="7"/>
        <v>7</v>
      </c>
      <c r="BE35" s="9">
        <f t="shared" si="7"/>
        <v>1</v>
      </c>
      <c r="BF35" s="9">
        <f t="shared" si="7"/>
        <v>2</v>
      </c>
      <c r="BG35" s="9">
        <f t="shared" si="7"/>
        <v>3</v>
      </c>
      <c r="BH35" s="9">
        <f t="shared" si="7"/>
        <v>4</v>
      </c>
      <c r="BI35" s="9">
        <f t="shared" si="7"/>
        <v>5</v>
      </c>
      <c r="BJ35" s="9">
        <f t="shared" si="7"/>
        <v>6</v>
      </c>
      <c r="BK35" s="9">
        <f t="shared" si="7"/>
        <v>7</v>
      </c>
      <c r="BL35" s="9">
        <f t="shared" si="7"/>
        <v>1</v>
      </c>
      <c r="BM35" s="9">
        <f t="shared" si="7"/>
        <v>2</v>
      </c>
      <c r="BN35" s="9">
        <f t="shared" si="7"/>
        <v>3</v>
      </c>
      <c r="BO35" s="9">
        <f t="shared" si="7"/>
        <v>4</v>
      </c>
      <c r="BP35" s="9">
        <f t="shared" ref="BP35:CP35" si="8">IF(BP36="","",WEEKDAY(BP36))</f>
        <v>5</v>
      </c>
      <c r="BQ35" s="9">
        <f t="shared" si="8"/>
        <v>6</v>
      </c>
      <c r="BR35" s="9">
        <f t="shared" si="8"/>
        <v>7</v>
      </c>
      <c r="BS35" s="9">
        <f t="shared" si="8"/>
        <v>1</v>
      </c>
      <c r="BT35" s="9">
        <f t="shared" si="8"/>
        <v>2</v>
      </c>
      <c r="BU35" s="9">
        <f t="shared" si="8"/>
        <v>3</v>
      </c>
      <c r="BV35" s="9">
        <f t="shared" si="8"/>
        <v>4</v>
      </c>
      <c r="BW35" s="9">
        <f t="shared" si="8"/>
        <v>5</v>
      </c>
      <c r="BX35" s="9">
        <f t="shared" si="8"/>
        <v>6</v>
      </c>
      <c r="BY35" s="9">
        <f t="shared" si="8"/>
        <v>7</v>
      </c>
      <c r="BZ35" s="9">
        <f t="shared" si="8"/>
        <v>1</v>
      </c>
      <c r="CA35" s="9">
        <f t="shared" si="8"/>
        <v>2</v>
      </c>
      <c r="CB35" s="9">
        <f t="shared" si="8"/>
        <v>3</v>
      </c>
      <c r="CC35" s="9">
        <f t="shared" si="8"/>
        <v>4</v>
      </c>
      <c r="CD35" s="9">
        <f t="shared" si="8"/>
        <v>5</v>
      </c>
      <c r="CE35" s="9">
        <f t="shared" si="8"/>
        <v>6</v>
      </c>
      <c r="CF35" s="9">
        <f t="shared" si="8"/>
        <v>7</v>
      </c>
      <c r="CG35" s="9">
        <f t="shared" si="8"/>
        <v>1</v>
      </c>
      <c r="CH35" s="9">
        <f t="shared" si="8"/>
        <v>2</v>
      </c>
      <c r="CI35" s="9">
        <f t="shared" si="8"/>
        <v>3</v>
      </c>
      <c r="CJ35" s="9">
        <f t="shared" si="8"/>
        <v>4</v>
      </c>
      <c r="CK35" s="9">
        <f t="shared" si="8"/>
        <v>5</v>
      </c>
      <c r="CL35" s="9">
        <f t="shared" si="8"/>
        <v>6</v>
      </c>
      <c r="CM35" s="9">
        <f t="shared" si="8"/>
        <v>7</v>
      </c>
      <c r="CN35" s="9">
        <f t="shared" si="8"/>
        <v>1</v>
      </c>
      <c r="CO35" s="9">
        <f t="shared" si="8"/>
        <v>2</v>
      </c>
      <c r="CP35" s="9">
        <f t="shared" si="8"/>
        <v>3</v>
      </c>
    </row>
    <row r="36" spans="1:94" ht="30" customHeight="1" x14ac:dyDescent="0.25">
      <c r="A36" s="12" t="s">
        <v>1</v>
      </c>
      <c r="B36" s="3"/>
      <c r="C36" s="7">
        <f>EDATE(g_refdatum,3)</f>
        <v>44348</v>
      </c>
      <c r="D36" s="7">
        <f t="shared" ref="D36:BO36" si="9">IF(C36="","",IF(C36+1&lt;EDATE(g_refdatum,6),C36+1,""))</f>
        <v>44349</v>
      </c>
      <c r="E36" s="7">
        <f t="shared" si="9"/>
        <v>44350</v>
      </c>
      <c r="F36" s="7">
        <f t="shared" si="9"/>
        <v>44351</v>
      </c>
      <c r="G36" s="7">
        <f t="shared" si="9"/>
        <v>44352</v>
      </c>
      <c r="H36" s="7">
        <f t="shared" si="9"/>
        <v>44353</v>
      </c>
      <c r="I36" s="7">
        <f t="shared" si="9"/>
        <v>44354</v>
      </c>
      <c r="J36" s="7">
        <f t="shared" si="9"/>
        <v>44355</v>
      </c>
      <c r="K36" s="7">
        <f t="shared" si="9"/>
        <v>44356</v>
      </c>
      <c r="L36" s="7">
        <f t="shared" si="9"/>
        <v>44357</v>
      </c>
      <c r="M36" s="7">
        <f t="shared" si="9"/>
        <v>44358</v>
      </c>
      <c r="N36" s="7">
        <f t="shared" si="9"/>
        <v>44359</v>
      </c>
      <c r="O36" s="7">
        <f t="shared" si="9"/>
        <v>44360</v>
      </c>
      <c r="P36" s="7">
        <f t="shared" si="9"/>
        <v>44361</v>
      </c>
      <c r="Q36" s="7">
        <f t="shared" si="9"/>
        <v>44362</v>
      </c>
      <c r="R36" s="7">
        <f t="shared" si="9"/>
        <v>44363</v>
      </c>
      <c r="S36" s="7">
        <f t="shared" si="9"/>
        <v>44364</v>
      </c>
      <c r="T36" s="7">
        <f t="shared" si="9"/>
        <v>44365</v>
      </c>
      <c r="U36" s="7">
        <f t="shared" si="9"/>
        <v>44366</v>
      </c>
      <c r="V36" s="7">
        <f t="shared" si="9"/>
        <v>44367</v>
      </c>
      <c r="W36" s="7">
        <f t="shared" si="9"/>
        <v>44368</v>
      </c>
      <c r="X36" s="7">
        <f t="shared" si="9"/>
        <v>44369</v>
      </c>
      <c r="Y36" s="7">
        <f t="shared" si="9"/>
        <v>44370</v>
      </c>
      <c r="Z36" s="7">
        <f t="shared" si="9"/>
        <v>44371</v>
      </c>
      <c r="AA36" s="7">
        <f t="shared" si="9"/>
        <v>44372</v>
      </c>
      <c r="AB36" s="7">
        <f t="shared" si="9"/>
        <v>44373</v>
      </c>
      <c r="AC36" s="7">
        <f t="shared" si="9"/>
        <v>44374</v>
      </c>
      <c r="AD36" s="7">
        <f t="shared" si="9"/>
        <v>44375</v>
      </c>
      <c r="AE36" s="7">
        <f t="shared" si="9"/>
        <v>44376</v>
      </c>
      <c r="AF36" s="7">
        <f t="shared" si="9"/>
        <v>44377</v>
      </c>
      <c r="AG36" s="7">
        <f t="shared" si="9"/>
        <v>44378</v>
      </c>
      <c r="AH36" s="7">
        <f t="shared" si="9"/>
        <v>44379</v>
      </c>
      <c r="AI36" s="7">
        <f t="shared" si="9"/>
        <v>44380</v>
      </c>
      <c r="AJ36" s="7">
        <f t="shared" si="9"/>
        <v>44381</v>
      </c>
      <c r="AK36" s="7">
        <f t="shared" si="9"/>
        <v>44382</v>
      </c>
      <c r="AL36" s="7">
        <f t="shared" si="9"/>
        <v>44383</v>
      </c>
      <c r="AM36" s="7">
        <f t="shared" si="9"/>
        <v>44384</v>
      </c>
      <c r="AN36" s="7">
        <f t="shared" si="9"/>
        <v>44385</v>
      </c>
      <c r="AO36" s="7">
        <f t="shared" si="9"/>
        <v>44386</v>
      </c>
      <c r="AP36" s="7">
        <f t="shared" si="9"/>
        <v>44387</v>
      </c>
      <c r="AQ36" s="7">
        <f t="shared" si="9"/>
        <v>44388</v>
      </c>
      <c r="AR36" s="7">
        <f t="shared" si="9"/>
        <v>44389</v>
      </c>
      <c r="AS36" s="7">
        <f t="shared" si="9"/>
        <v>44390</v>
      </c>
      <c r="AT36" s="7">
        <f t="shared" si="9"/>
        <v>44391</v>
      </c>
      <c r="AU36" s="7">
        <f t="shared" si="9"/>
        <v>44392</v>
      </c>
      <c r="AV36" s="7">
        <f t="shared" si="9"/>
        <v>44393</v>
      </c>
      <c r="AW36" s="7">
        <f t="shared" si="9"/>
        <v>44394</v>
      </c>
      <c r="AX36" s="7">
        <f t="shared" si="9"/>
        <v>44395</v>
      </c>
      <c r="AY36" s="7">
        <f t="shared" si="9"/>
        <v>44396</v>
      </c>
      <c r="AZ36" s="7">
        <f t="shared" si="9"/>
        <v>44397</v>
      </c>
      <c r="BA36" s="7">
        <f t="shared" si="9"/>
        <v>44398</v>
      </c>
      <c r="BB36" s="7">
        <f t="shared" si="9"/>
        <v>44399</v>
      </c>
      <c r="BC36" s="7">
        <f t="shared" si="9"/>
        <v>44400</v>
      </c>
      <c r="BD36" s="7">
        <f t="shared" si="9"/>
        <v>44401</v>
      </c>
      <c r="BE36" s="7">
        <f t="shared" si="9"/>
        <v>44402</v>
      </c>
      <c r="BF36" s="7">
        <f t="shared" si="9"/>
        <v>44403</v>
      </c>
      <c r="BG36" s="7">
        <f t="shared" si="9"/>
        <v>44404</v>
      </c>
      <c r="BH36" s="7">
        <f t="shared" si="9"/>
        <v>44405</v>
      </c>
      <c r="BI36" s="7">
        <f t="shared" si="9"/>
        <v>44406</v>
      </c>
      <c r="BJ36" s="7">
        <f t="shared" si="9"/>
        <v>44407</v>
      </c>
      <c r="BK36" s="7">
        <f t="shared" si="9"/>
        <v>44408</v>
      </c>
      <c r="BL36" s="7">
        <f t="shared" si="9"/>
        <v>44409</v>
      </c>
      <c r="BM36" s="7">
        <f t="shared" si="9"/>
        <v>44410</v>
      </c>
      <c r="BN36" s="7">
        <f t="shared" si="9"/>
        <v>44411</v>
      </c>
      <c r="BO36" s="7">
        <f t="shared" si="9"/>
        <v>44412</v>
      </c>
      <c r="BP36" s="7">
        <f t="shared" ref="BP36:CP36" si="10">IF(BO36="","",IF(BO36+1&lt;EDATE(g_refdatum,6),BO36+1,""))</f>
        <v>44413</v>
      </c>
      <c r="BQ36" s="7">
        <f t="shared" si="10"/>
        <v>44414</v>
      </c>
      <c r="BR36" s="7">
        <f t="shared" si="10"/>
        <v>44415</v>
      </c>
      <c r="BS36" s="7">
        <f t="shared" si="10"/>
        <v>44416</v>
      </c>
      <c r="BT36" s="7">
        <f t="shared" si="10"/>
        <v>44417</v>
      </c>
      <c r="BU36" s="7">
        <f t="shared" si="10"/>
        <v>44418</v>
      </c>
      <c r="BV36" s="7">
        <f t="shared" si="10"/>
        <v>44419</v>
      </c>
      <c r="BW36" s="7">
        <f t="shared" si="10"/>
        <v>44420</v>
      </c>
      <c r="BX36" s="7">
        <f t="shared" si="10"/>
        <v>44421</v>
      </c>
      <c r="BY36" s="7">
        <f t="shared" si="10"/>
        <v>44422</v>
      </c>
      <c r="BZ36" s="7">
        <f t="shared" si="10"/>
        <v>44423</v>
      </c>
      <c r="CA36" s="7">
        <f t="shared" si="10"/>
        <v>44424</v>
      </c>
      <c r="CB36" s="7">
        <f t="shared" si="10"/>
        <v>44425</v>
      </c>
      <c r="CC36" s="7">
        <f t="shared" si="10"/>
        <v>44426</v>
      </c>
      <c r="CD36" s="7">
        <f t="shared" si="10"/>
        <v>44427</v>
      </c>
      <c r="CE36" s="7">
        <f t="shared" si="10"/>
        <v>44428</v>
      </c>
      <c r="CF36" s="7">
        <f t="shared" si="10"/>
        <v>44429</v>
      </c>
      <c r="CG36" s="7">
        <f t="shared" si="10"/>
        <v>44430</v>
      </c>
      <c r="CH36" s="7">
        <f t="shared" si="10"/>
        <v>44431</v>
      </c>
      <c r="CI36" s="7">
        <f t="shared" si="10"/>
        <v>44432</v>
      </c>
      <c r="CJ36" s="7">
        <f t="shared" si="10"/>
        <v>44433</v>
      </c>
      <c r="CK36" s="7">
        <f t="shared" si="10"/>
        <v>44434</v>
      </c>
      <c r="CL36" s="7">
        <f t="shared" si="10"/>
        <v>44435</v>
      </c>
      <c r="CM36" s="7">
        <f t="shared" si="10"/>
        <v>44436</v>
      </c>
      <c r="CN36" s="7">
        <f t="shared" si="10"/>
        <v>44437</v>
      </c>
      <c r="CO36" s="7">
        <f t="shared" si="10"/>
        <v>44438</v>
      </c>
      <c r="CP36" s="7">
        <f t="shared" si="10"/>
        <v>44439</v>
      </c>
    </row>
    <row r="37" spans="1:94" ht="45" customHeight="1" x14ac:dyDescent="0.25">
      <c r="A37" s="35" t="s">
        <v>20</v>
      </c>
      <c r="B37" s="16"/>
      <c r="C37" s="31" t="str">
        <f t="shared" ref="C37:AH37" si="11">IF(IF(ISNA(VLOOKUP(C36,g_feiertagsmatrix,2,FALSE)),"",VLOOKUP(C36,g_feiertagsmatrix,2,FALSE))&lt;&gt;"",IF(ISNA(VLOOKUP(C36,g_feiertagsmatrix,2,FALSE)),"",VLOOKUP(C36,g_feiertagsmatrix,2,FALSE)),IF(C35=2,"KW "&amp;TRUNC((C36-DATE(YEAR(C36- MOD(C36-2,7)+3),1,MOD(C36-2,7)- 9))/7),""))</f>
        <v/>
      </c>
      <c r="D37" s="31" t="str">
        <f t="shared" si="11"/>
        <v/>
      </c>
      <c r="E37" s="31" t="str">
        <f t="shared" si="11"/>
        <v>Fronleichnam</v>
      </c>
      <c r="F37" s="31" t="str">
        <f t="shared" si="11"/>
        <v>VLfrei</v>
      </c>
      <c r="G37" s="31" t="str">
        <f t="shared" si="11"/>
        <v/>
      </c>
      <c r="H37" s="31" t="str">
        <f t="shared" si="11"/>
        <v/>
      </c>
      <c r="I37" s="31" t="str">
        <f t="shared" si="11"/>
        <v>KW 23</v>
      </c>
      <c r="J37" s="31" t="str">
        <f t="shared" si="11"/>
        <v/>
      </c>
      <c r="K37" s="31" t="str">
        <f t="shared" si="11"/>
        <v/>
      </c>
      <c r="L37" s="31" t="str">
        <f t="shared" si="11"/>
        <v/>
      </c>
      <c r="M37" s="31" t="str">
        <f t="shared" si="11"/>
        <v/>
      </c>
      <c r="N37" s="31" t="str">
        <f t="shared" si="11"/>
        <v/>
      </c>
      <c r="O37" s="31" t="str">
        <f t="shared" si="11"/>
        <v/>
      </c>
      <c r="P37" s="31" t="str">
        <f t="shared" si="11"/>
        <v>KW 24</v>
      </c>
      <c r="Q37" s="31" t="str">
        <f t="shared" si="11"/>
        <v/>
      </c>
      <c r="R37" s="31" t="str">
        <f t="shared" si="11"/>
        <v/>
      </c>
      <c r="S37" s="31" t="str">
        <f t="shared" si="11"/>
        <v/>
      </c>
      <c r="T37" s="31" t="str">
        <f t="shared" si="11"/>
        <v/>
      </c>
      <c r="U37" s="31" t="str">
        <f t="shared" si="11"/>
        <v/>
      </c>
      <c r="V37" s="31" t="str">
        <f t="shared" si="11"/>
        <v/>
      </c>
      <c r="W37" s="31" t="str">
        <f t="shared" si="11"/>
        <v>KW 25</v>
      </c>
      <c r="X37" s="31" t="str">
        <f t="shared" si="11"/>
        <v/>
      </c>
      <c r="Y37" s="31" t="str">
        <f t="shared" si="11"/>
        <v/>
      </c>
      <c r="Z37" s="31" t="str">
        <f t="shared" si="11"/>
        <v/>
      </c>
      <c r="AA37" s="31" t="str">
        <f t="shared" si="11"/>
        <v/>
      </c>
      <c r="AB37" s="31" t="str">
        <f t="shared" si="11"/>
        <v/>
      </c>
      <c r="AC37" s="31" t="str">
        <f t="shared" si="11"/>
        <v/>
      </c>
      <c r="AD37" s="31" t="str">
        <f t="shared" si="11"/>
        <v>KW 26</v>
      </c>
      <c r="AE37" s="31" t="str">
        <f t="shared" si="11"/>
        <v/>
      </c>
      <c r="AF37" s="31" t="str">
        <f t="shared" si="11"/>
        <v/>
      </c>
      <c r="AG37" s="31" t="str">
        <f t="shared" si="11"/>
        <v/>
      </c>
      <c r="AH37" s="31" t="str">
        <f t="shared" si="11"/>
        <v/>
      </c>
      <c r="AI37" s="31" t="str">
        <f t="shared" ref="AI37:BN37" si="12">IF(IF(ISNA(VLOOKUP(AI36,g_feiertagsmatrix,2,FALSE)),"",VLOOKUP(AI36,g_feiertagsmatrix,2,FALSE))&lt;&gt;"",IF(ISNA(VLOOKUP(AI36,g_feiertagsmatrix,2,FALSE)),"",VLOOKUP(AI36,g_feiertagsmatrix,2,FALSE)),IF(AI35=2,"KW "&amp;TRUNC((AI36-DATE(YEAR(AI36- MOD(AI36-2,7)+3),1,MOD(AI36-2,7)- 9))/7),""))</f>
        <v/>
      </c>
      <c r="AJ37" s="31" t="str">
        <f t="shared" si="12"/>
        <v/>
      </c>
      <c r="AK37" s="31" t="str">
        <f t="shared" si="12"/>
        <v>KW 27</v>
      </c>
      <c r="AL37" s="31" t="str">
        <f t="shared" si="12"/>
        <v/>
      </c>
      <c r="AM37" s="31" t="str">
        <f t="shared" si="12"/>
        <v/>
      </c>
      <c r="AN37" s="31" t="str">
        <f t="shared" si="12"/>
        <v/>
      </c>
      <c r="AO37" s="31" t="str">
        <f t="shared" si="12"/>
        <v/>
      </c>
      <c r="AP37" s="31" t="str">
        <f t="shared" si="12"/>
        <v/>
      </c>
      <c r="AQ37" s="31" t="str">
        <f t="shared" si="12"/>
        <v/>
      </c>
      <c r="AR37" s="31" t="str">
        <f t="shared" si="12"/>
        <v>KW 28</v>
      </c>
      <c r="AS37" s="31" t="str">
        <f t="shared" si="12"/>
        <v/>
      </c>
      <c r="AT37" s="31" t="str">
        <f t="shared" si="12"/>
        <v/>
      </c>
      <c r="AU37" s="31" t="str">
        <f t="shared" si="12"/>
        <v/>
      </c>
      <c r="AV37" s="31" t="str">
        <f t="shared" si="12"/>
        <v/>
      </c>
      <c r="AW37" s="31" t="str">
        <f t="shared" si="12"/>
        <v/>
      </c>
      <c r="AX37" s="31" t="str">
        <f t="shared" si="12"/>
        <v/>
      </c>
      <c r="AY37" s="31" t="str">
        <f t="shared" si="12"/>
        <v>KW 29</v>
      </c>
      <c r="AZ37" s="31" t="str">
        <f t="shared" si="12"/>
        <v/>
      </c>
      <c r="BA37" s="31" t="str">
        <f t="shared" si="12"/>
        <v/>
      </c>
      <c r="BB37" s="31" t="str">
        <f t="shared" si="12"/>
        <v/>
      </c>
      <c r="BC37" s="31" t="str">
        <f t="shared" si="12"/>
        <v/>
      </c>
      <c r="BD37" s="31" t="str">
        <f t="shared" si="12"/>
        <v/>
      </c>
      <c r="BE37" s="31" t="str">
        <f t="shared" si="12"/>
        <v/>
      </c>
      <c r="BF37" s="31" t="str">
        <f t="shared" si="12"/>
        <v>KW 30</v>
      </c>
      <c r="BG37" s="31" t="str">
        <f t="shared" si="12"/>
        <v/>
      </c>
      <c r="BH37" s="31" t="str">
        <f t="shared" si="12"/>
        <v/>
      </c>
      <c r="BI37" s="31" t="str">
        <f t="shared" si="12"/>
        <v/>
      </c>
      <c r="BJ37" s="31" t="str">
        <f t="shared" si="12"/>
        <v/>
      </c>
      <c r="BK37" s="31" t="str">
        <f t="shared" si="12"/>
        <v/>
      </c>
      <c r="BL37" s="31" t="str">
        <f t="shared" si="12"/>
        <v/>
      </c>
      <c r="BM37" s="31" t="str">
        <f t="shared" si="12"/>
        <v>KW 31</v>
      </c>
      <c r="BN37" s="31" t="str">
        <f t="shared" si="12"/>
        <v/>
      </c>
      <c r="BO37" s="31" t="str">
        <f t="shared" ref="BO37:CP37" si="13">IF(IF(ISNA(VLOOKUP(BO36,g_feiertagsmatrix,2,FALSE)),"",VLOOKUP(BO36,g_feiertagsmatrix,2,FALSE))&lt;&gt;"",IF(ISNA(VLOOKUP(BO36,g_feiertagsmatrix,2,FALSE)),"",VLOOKUP(BO36,g_feiertagsmatrix,2,FALSE)),IF(BO35=2,"KW "&amp;TRUNC((BO36-DATE(YEAR(BO36- MOD(BO36-2,7)+3),1,MOD(BO36-2,7)- 9))/7),""))</f>
        <v/>
      </c>
      <c r="BP37" s="31" t="str">
        <f t="shared" si="13"/>
        <v/>
      </c>
      <c r="BQ37" s="31" t="str">
        <f t="shared" si="13"/>
        <v/>
      </c>
      <c r="BR37" s="31" t="str">
        <f t="shared" si="13"/>
        <v/>
      </c>
      <c r="BS37" s="31" t="str">
        <f t="shared" si="13"/>
        <v/>
      </c>
      <c r="BT37" s="31" t="str">
        <f t="shared" si="13"/>
        <v>KW 32</v>
      </c>
      <c r="BU37" s="31" t="str">
        <f t="shared" si="13"/>
        <v/>
      </c>
      <c r="BV37" s="31" t="str">
        <f t="shared" si="13"/>
        <v/>
      </c>
      <c r="BW37" s="31" t="str">
        <f t="shared" si="13"/>
        <v/>
      </c>
      <c r="BX37" s="31" t="str">
        <f t="shared" si="13"/>
        <v/>
      </c>
      <c r="BY37" s="31" t="str">
        <f t="shared" si="13"/>
        <v/>
      </c>
      <c r="BZ37" s="31" t="str">
        <f t="shared" si="13"/>
        <v/>
      </c>
      <c r="CA37" s="31" t="str">
        <f t="shared" si="13"/>
        <v>KW 33</v>
      </c>
      <c r="CB37" s="31" t="str">
        <f t="shared" si="13"/>
        <v/>
      </c>
      <c r="CC37" s="31" t="str">
        <f t="shared" si="13"/>
        <v/>
      </c>
      <c r="CD37" s="31" t="str">
        <f t="shared" si="13"/>
        <v/>
      </c>
      <c r="CE37" s="31" t="str">
        <f t="shared" si="13"/>
        <v/>
      </c>
      <c r="CF37" s="31" t="str">
        <f t="shared" si="13"/>
        <v/>
      </c>
      <c r="CG37" s="31" t="str">
        <f t="shared" si="13"/>
        <v/>
      </c>
      <c r="CH37" s="31" t="str">
        <f t="shared" si="13"/>
        <v>KW 34</v>
      </c>
      <c r="CI37" s="31" t="str">
        <f t="shared" si="13"/>
        <v/>
      </c>
      <c r="CJ37" s="31" t="str">
        <f t="shared" si="13"/>
        <v/>
      </c>
      <c r="CK37" s="31" t="str">
        <f t="shared" si="13"/>
        <v/>
      </c>
      <c r="CL37" s="31" t="str">
        <f t="shared" si="13"/>
        <v/>
      </c>
      <c r="CM37" s="31" t="str">
        <f t="shared" si="13"/>
        <v/>
      </c>
      <c r="CN37" s="31" t="str">
        <f t="shared" si="13"/>
        <v/>
      </c>
      <c r="CO37" s="31" t="str">
        <f t="shared" si="13"/>
        <v>KW 35</v>
      </c>
      <c r="CP37" s="31" t="str">
        <f t="shared" si="13"/>
        <v/>
      </c>
    </row>
    <row r="38" spans="1:94" ht="30" customHeight="1" x14ac:dyDescent="0.25">
      <c r="A38" s="13">
        <f>A9</f>
        <v>0</v>
      </c>
      <c r="B38" s="16"/>
      <c r="C38" s="33"/>
      <c r="D38" s="33"/>
      <c r="E38" s="33"/>
      <c r="F38" s="33"/>
      <c r="G38" s="33"/>
      <c r="H38" s="33"/>
      <c r="I38" s="33"/>
      <c r="J38" s="33"/>
      <c r="K38" s="33"/>
      <c r="L38" s="33"/>
      <c r="M38" s="33"/>
      <c r="N38" s="33"/>
      <c r="O38" s="33"/>
      <c r="P38" s="33"/>
      <c r="Q38" s="33"/>
      <c r="R38" s="33"/>
      <c r="S38" s="33"/>
      <c r="T38" s="33"/>
      <c r="U38" s="33"/>
      <c r="V38" s="33"/>
      <c r="W38" s="33"/>
      <c r="X38" s="33"/>
      <c r="Y38" s="33"/>
      <c r="Z38" s="33"/>
      <c r="AA38" s="33"/>
      <c r="AB38" s="33"/>
      <c r="AC38" s="33"/>
      <c r="AD38" s="33"/>
      <c r="AE38" s="33"/>
      <c r="AF38" s="33"/>
      <c r="AG38" s="33"/>
      <c r="AH38" s="33"/>
      <c r="AI38" s="33"/>
      <c r="AJ38" s="33"/>
      <c r="AK38" s="33"/>
      <c r="AL38" s="33"/>
      <c r="AM38" s="33"/>
      <c r="AN38" s="33"/>
      <c r="AO38" s="33"/>
      <c r="AP38" s="33"/>
      <c r="AQ38" s="33"/>
      <c r="AR38" s="33"/>
      <c r="AS38" s="33"/>
      <c r="AT38" s="33"/>
      <c r="AU38" s="33"/>
      <c r="AV38" s="33"/>
      <c r="AW38" s="33"/>
      <c r="AX38" s="33"/>
      <c r="AY38" s="33"/>
      <c r="AZ38" s="33"/>
      <c r="BA38" s="33"/>
      <c r="BB38" s="33"/>
      <c r="BC38" s="33"/>
      <c r="BD38" s="33"/>
      <c r="BE38" s="33"/>
      <c r="BF38" s="33"/>
      <c r="BG38" s="33"/>
      <c r="BH38" s="33"/>
      <c r="BI38" s="33"/>
      <c r="BJ38" s="33"/>
      <c r="BK38" s="33"/>
      <c r="BL38" s="33"/>
      <c r="BM38" s="33"/>
      <c r="BN38" s="33"/>
      <c r="BO38" s="33"/>
      <c r="BP38" s="33"/>
      <c r="BQ38" s="33"/>
      <c r="BR38" s="33"/>
      <c r="BS38" s="33"/>
      <c r="BT38" s="33"/>
      <c r="BU38" s="33"/>
      <c r="BV38" s="33"/>
      <c r="BW38" s="33"/>
      <c r="BX38" s="33"/>
      <c r="BY38" s="33"/>
      <c r="BZ38" s="33"/>
      <c r="CA38" s="33"/>
      <c r="CB38" s="33"/>
      <c r="CC38" s="33"/>
      <c r="CD38" s="33"/>
      <c r="CE38" s="33"/>
      <c r="CF38" s="33"/>
      <c r="CG38" s="33"/>
      <c r="CH38" s="33"/>
      <c r="CI38" s="33"/>
      <c r="CJ38" s="33"/>
      <c r="CK38" s="33"/>
      <c r="CL38" s="33"/>
      <c r="CM38" s="33"/>
      <c r="CN38" s="33"/>
      <c r="CO38" s="33"/>
      <c r="CP38" s="33"/>
    </row>
    <row r="39" spans="1:94" ht="30" customHeight="1" x14ac:dyDescent="0.25">
      <c r="A39" s="13">
        <f t="shared" ref="A39:A61" si="14">A10</f>
        <v>0</v>
      </c>
      <c r="B39" s="16"/>
      <c r="C39" s="33"/>
      <c r="D39" s="33"/>
      <c r="E39" s="33"/>
      <c r="F39" s="33"/>
      <c r="G39" s="33"/>
      <c r="H39" s="33"/>
      <c r="I39" s="33"/>
      <c r="J39" s="33"/>
      <c r="K39" s="33"/>
      <c r="L39" s="33"/>
      <c r="M39" s="33"/>
      <c r="N39" s="33"/>
      <c r="O39" s="33"/>
      <c r="P39" s="33"/>
      <c r="Q39" s="33"/>
      <c r="R39" s="33"/>
      <c r="S39" s="33"/>
      <c r="T39" s="33"/>
      <c r="U39" s="33"/>
      <c r="V39" s="33"/>
      <c r="W39" s="33"/>
      <c r="X39" s="33"/>
      <c r="Y39" s="33"/>
      <c r="Z39" s="33"/>
      <c r="AA39" s="33"/>
      <c r="AB39" s="33"/>
      <c r="AC39" s="33"/>
      <c r="AD39" s="33"/>
      <c r="AE39" s="33"/>
      <c r="AF39" s="33"/>
      <c r="AG39" s="33"/>
      <c r="AH39" s="33"/>
      <c r="AI39" s="33"/>
      <c r="AJ39" s="33"/>
      <c r="AK39" s="33"/>
      <c r="AL39" s="33"/>
      <c r="AM39" s="33"/>
      <c r="AN39" s="33"/>
      <c r="AO39" s="33"/>
      <c r="AP39" s="33"/>
      <c r="AQ39" s="33"/>
      <c r="AR39" s="33"/>
      <c r="AS39" s="33"/>
      <c r="AT39" s="33"/>
      <c r="AU39" s="33"/>
      <c r="AV39" s="33"/>
      <c r="AW39" s="33"/>
      <c r="AX39" s="33"/>
      <c r="AY39" s="33"/>
      <c r="AZ39" s="33"/>
      <c r="BA39" s="33"/>
      <c r="BB39" s="33"/>
      <c r="BC39" s="33"/>
      <c r="BD39" s="33"/>
      <c r="BE39" s="33"/>
      <c r="BF39" s="33"/>
      <c r="BG39" s="33"/>
      <c r="BH39" s="33"/>
      <c r="BI39" s="33"/>
      <c r="BJ39" s="33"/>
      <c r="BK39" s="33"/>
      <c r="BL39" s="33"/>
      <c r="BM39" s="33"/>
      <c r="BN39" s="33"/>
      <c r="BO39" s="33"/>
      <c r="BP39" s="33"/>
      <c r="BQ39" s="33"/>
      <c r="BR39" s="33"/>
      <c r="BS39" s="33"/>
      <c r="BT39" s="33"/>
      <c r="BU39" s="33"/>
      <c r="BV39" s="33"/>
      <c r="BW39" s="33"/>
      <c r="BX39" s="33"/>
      <c r="BY39" s="33"/>
      <c r="BZ39" s="33"/>
      <c r="CA39" s="33"/>
      <c r="CB39" s="33"/>
      <c r="CC39" s="33"/>
      <c r="CD39" s="33"/>
      <c r="CE39" s="33"/>
      <c r="CF39" s="33"/>
      <c r="CG39" s="33"/>
      <c r="CH39" s="33"/>
      <c r="CI39" s="33"/>
      <c r="CJ39" s="33"/>
      <c r="CK39" s="33"/>
      <c r="CL39" s="33"/>
      <c r="CM39" s="33"/>
      <c r="CN39" s="33"/>
      <c r="CO39" s="33"/>
      <c r="CP39" s="33"/>
    </row>
    <row r="40" spans="1:94" ht="30" customHeight="1" x14ac:dyDescent="0.25">
      <c r="A40" s="13">
        <f t="shared" si="14"/>
        <v>0</v>
      </c>
      <c r="B40" s="16"/>
      <c r="C40" s="33"/>
      <c r="D40" s="33"/>
      <c r="E40" s="33"/>
      <c r="F40" s="33"/>
      <c r="G40" s="33"/>
      <c r="H40" s="33"/>
      <c r="I40" s="33"/>
      <c r="J40" s="33"/>
      <c r="K40" s="33"/>
      <c r="L40" s="33"/>
      <c r="M40" s="33"/>
      <c r="N40" s="33"/>
      <c r="O40" s="33"/>
      <c r="P40" s="33"/>
      <c r="Q40" s="33"/>
      <c r="R40" s="33"/>
      <c r="S40" s="33"/>
      <c r="T40" s="33"/>
      <c r="U40" s="33"/>
      <c r="V40" s="33"/>
      <c r="W40" s="33"/>
      <c r="X40" s="33"/>
      <c r="Y40" s="33"/>
      <c r="Z40" s="33"/>
      <c r="AA40" s="33"/>
      <c r="AB40" s="33"/>
      <c r="AC40" s="33"/>
      <c r="AD40" s="33"/>
      <c r="AE40" s="33"/>
      <c r="AF40" s="33"/>
      <c r="AG40" s="33"/>
      <c r="AH40" s="33"/>
      <c r="AI40" s="33"/>
      <c r="AJ40" s="33"/>
      <c r="AK40" s="33"/>
      <c r="AL40" s="33"/>
      <c r="AM40" s="33"/>
      <c r="AN40" s="33"/>
      <c r="AO40" s="33"/>
      <c r="AP40" s="33"/>
      <c r="AQ40" s="33"/>
      <c r="AR40" s="33"/>
      <c r="AS40" s="33"/>
      <c r="AT40" s="33"/>
      <c r="AU40" s="33"/>
      <c r="AV40" s="33"/>
      <c r="AW40" s="33"/>
      <c r="AX40" s="33"/>
      <c r="AY40" s="33"/>
      <c r="AZ40" s="33"/>
      <c r="BA40" s="33"/>
      <c r="BB40" s="33"/>
      <c r="BC40" s="33"/>
      <c r="BD40" s="33"/>
      <c r="BE40" s="33"/>
      <c r="BF40" s="33"/>
      <c r="BG40" s="33"/>
      <c r="BH40" s="33"/>
      <c r="BI40" s="33"/>
      <c r="BJ40" s="33"/>
      <c r="BK40" s="33"/>
      <c r="BL40" s="33"/>
      <c r="BM40" s="33"/>
      <c r="BN40" s="33"/>
      <c r="BO40" s="33"/>
      <c r="BP40" s="33"/>
      <c r="BQ40" s="33"/>
      <c r="BR40" s="33"/>
      <c r="BS40" s="33"/>
      <c r="BT40" s="33"/>
      <c r="BU40" s="33"/>
      <c r="BV40" s="33"/>
      <c r="BW40" s="33"/>
      <c r="BX40" s="33"/>
      <c r="BY40" s="33"/>
      <c r="BZ40" s="33"/>
      <c r="CA40" s="33"/>
      <c r="CB40" s="33"/>
      <c r="CC40" s="33"/>
      <c r="CD40" s="33"/>
      <c r="CE40" s="33"/>
      <c r="CF40" s="33"/>
      <c r="CG40" s="33"/>
      <c r="CH40" s="33"/>
      <c r="CI40" s="33"/>
      <c r="CJ40" s="33"/>
      <c r="CK40" s="33"/>
      <c r="CL40" s="33"/>
      <c r="CM40" s="33"/>
      <c r="CN40" s="33"/>
      <c r="CO40" s="33"/>
      <c r="CP40" s="33"/>
    </row>
    <row r="41" spans="1:94" ht="30" customHeight="1" x14ac:dyDescent="0.25">
      <c r="A41" s="13">
        <f t="shared" si="14"/>
        <v>0</v>
      </c>
      <c r="B41" s="16"/>
      <c r="C41" s="33"/>
      <c r="D41" s="33"/>
      <c r="E41" s="33"/>
      <c r="F41" s="33"/>
      <c r="G41" s="33"/>
      <c r="H41" s="33"/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3"/>
      <c r="AG41" s="33"/>
      <c r="AH41" s="33"/>
      <c r="AI41" s="33"/>
      <c r="AJ41" s="33"/>
      <c r="AK41" s="33"/>
      <c r="AL41" s="33"/>
      <c r="AM41" s="33"/>
      <c r="AN41" s="33"/>
      <c r="AO41" s="33"/>
      <c r="AP41" s="33"/>
      <c r="AQ41" s="33"/>
      <c r="AR41" s="33"/>
      <c r="AS41" s="33"/>
      <c r="AT41" s="33"/>
      <c r="AU41" s="33"/>
      <c r="AV41" s="33"/>
      <c r="AW41" s="33"/>
      <c r="AX41" s="33"/>
      <c r="AY41" s="33"/>
      <c r="AZ41" s="33"/>
      <c r="BA41" s="33"/>
      <c r="BB41" s="33"/>
      <c r="BC41" s="33"/>
      <c r="BD41" s="33"/>
      <c r="BE41" s="33"/>
      <c r="BF41" s="33"/>
      <c r="BG41" s="33"/>
      <c r="BH41" s="33"/>
      <c r="BI41" s="33"/>
      <c r="BJ41" s="33"/>
      <c r="BK41" s="33"/>
      <c r="BL41" s="33"/>
      <c r="BM41" s="33"/>
      <c r="BN41" s="33"/>
      <c r="BO41" s="33"/>
      <c r="BP41" s="33"/>
      <c r="BQ41" s="33"/>
      <c r="BR41" s="33"/>
      <c r="BS41" s="33"/>
      <c r="BT41" s="33"/>
      <c r="BU41" s="33"/>
      <c r="BV41" s="33"/>
      <c r="BW41" s="33"/>
      <c r="BX41" s="33"/>
      <c r="BY41" s="33"/>
      <c r="BZ41" s="33"/>
      <c r="CA41" s="33"/>
      <c r="CB41" s="33"/>
      <c r="CC41" s="33"/>
      <c r="CD41" s="33"/>
      <c r="CE41" s="33"/>
      <c r="CF41" s="33"/>
      <c r="CG41" s="33"/>
      <c r="CH41" s="33"/>
      <c r="CI41" s="33"/>
      <c r="CJ41" s="33"/>
      <c r="CK41" s="33"/>
      <c r="CL41" s="33"/>
      <c r="CM41" s="33"/>
      <c r="CN41" s="33"/>
      <c r="CO41" s="33"/>
      <c r="CP41" s="33"/>
    </row>
    <row r="42" spans="1:94" ht="30" customHeight="1" x14ac:dyDescent="0.25">
      <c r="A42" s="13">
        <f t="shared" si="14"/>
        <v>0</v>
      </c>
      <c r="B42" s="16"/>
      <c r="C42" s="33"/>
      <c r="D42" s="33"/>
      <c r="E42" s="33"/>
      <c r="F42" s="33"/>
      <c r="G42" s="33"/>
      <c r="H42" s="33"/>
      <c r="I42" s="33"/>
      <c r="J42" s="33"/>
      <c r="K42" s="33"/>
      <c r="L42" s="33"/>
      <c r="M42" s="33"/>
      <c r="N42" s="33"/>
      <c r="O42" s="33"/>
      <c r="P42" s="33"/>
      <c r="Q42" s="33"/>
      <c r="R42" s="33"/>
      <c r="S42" s="33"/>
      <c r="T42" s="33"/>
      <c r="U42" s="33"/>
      <c r="V42" s="33"/>
      <c r="W42" s="33"/>
      <c r="X42" s="33"/>
      <c r="Y42" s="33"/>
      <c r="Z42" s="33"/>
      <c r="AA42" s="33"/>
      <c r="AB42" s="33"/>
      <c r="AC42" s="33"/>
      <c r="AD42" s="33"/>
      <c r="AE42" s="33"/>
      <c r="AF42" s="33"/>
      <c r="AG42" s="33"/>
      <c r="AH42" s="33"/>
      <c r="AI42" s="33"/>
      <c r="AJ42" s="33"/>
      <c r="AK42" s="33"/>
      <c r="AL42" s="33"/>
      <c r="AM42" s="33"/>
      <c r="AN42" s="33"/>
      <c r="AO42" s="33"/>
      <c r="AP42" s="33"/>
      <c r="AQ42" s="33"/>
      <c r="AR42" s="33"/>
      <c r="AS42" s="33"/>
      <c r="AT42" s="33"/>
      <c r="AU42" s="33"/>
      <c r="AV42" s="33"/>
      <c r="AW42" s="33"/>
      <c r="AX42" s="33"/>
      <c r="AY42" s="33"/>
      <c r="AZ42" s="33"/>
      <c r="BA42" s="33"/>
      <c r="BB42" s="33"/>
      <c r="BC42" s="33"/>
      <c r="BD42" s="33"/>
      <c r="BE42" s="33"/>
      <c r="BF42" s="33"/>
      <c r="BG42" s="33"/>
      <c r="BH42" s="33"/>
      <c r="BI42" s="33"/>
      <c r="BJ42" s="33"/>
      <c r="BK42" s="33"/>
      <c r="BL42" s="33"/>
      <c r="BM42" s="33"/>
      <c r="BN42" s="33"/>
      <c r="BO42" s="33"/>
      <c r="BP42" s="33"/>
      <c r="BQ42" s="33"/>
      <c r="BR42" s="33"/>
      <c r="BS42" s="33"/>
      <c r="BT42" s="33"/>
      <c r="BU42" s="33"/>
      <c r="BV42" s="33"/>
      <c r="BW42" s="33"/>
      <c r="BX42" s="33"/>
      <c r="BY42" s="33"/>
      <c r="BZ42" s="33"/>
      <c r="CA42" s="33"/>
      <c r="CB42" s="33"/>
      <c r="CC42" s="33"/>
      <c r="CD42" s="33"/>
      <c r="CE42" s="33"/>
      <c r="CF42" s="33"/>
      <c r="CG42" s="33"/>
      <c r="CH42" s="33"/>
      <c r="CI42" s="33"/>
      <c r="CJ42" s="33"/>
      <c r="CK42" s="33"/>
      <c r="CL42" s="33"/>
      <c r="CM42" s="33"/>
      <c r="CN42" s="33"/>
      <c r="CO42" s="33"/>
      <c r="CP42" s="33"/>
    </row>
    <row r="43" spans="1:94" ht="30" customHeight="1" x14ac:dyDescent="0.25">
      <c r="A43" s="13">
        <f t="shared" si="14"/>
        <v>0</v>
      </c>
      <c r="B43" s="16"/>
      <c r="C43" s="33"/>
      <c r="D43" s="33"/>
      <c r="E43" s="33"/>
      <c r="F43" s="33"/>
      <c r="G43" s="33"/>
      <c r="H43" s="33"/>
      <c r="I43" s="33"/>
      <c r="J43" s="33"/>
      <c r="K43" s="33"/>
      <c r="L43" s="33"/>
      <c r="M43" s="33"/>
      <c r="N43" s="33"/>
      <c r="O43" s="33"/>
      <c r="P43" s="33"/>
      <c r="Q43" s="33"/>
      <c r="R43" s="33"/>
      <c r="S43" s="33"/>
      <c r="T43" s="33"/>
      <c r="U43" s="33"/>
      <c r="V43" s="33"/>
      <c r="W43" s="33"/>
      <c r="X43" s="33"/>
      <c r="Y43" s="33"/>
      <c r="Z43" s="33"/>
      <c r="AA43" s="33"/>
      <c r="AB43" s="33"/>
      <c r="AC43" s="33"/>
      <c r="AD43" s="33"/>
      <c r="AE43" s="33"/>
      <c r="AF43" s="33"/>
      <c r="AG43" s="33"/>
      <c r="AH43" s="33"/>
      <c r="AI43" s="33"/>
      <c r="AJ43" s="33"/>
      <c r="AK43" s="33"/>
      <c r="AL43" s="33"/>
      <c r="AM43" s="33"/>
      <c r="AN43" s="33"/>
      <c r="AO43" s="33"/>
      <c r="AP43" s="33"/>
      <c r="AQ43" s="33"/>
      <c r="AR43" s="33"/>
      <c r="AS43" s="33"/>
      <c r="AT43" s="33"/>
      <c r="AU43" s="33"/>
      <c r="AV43" s="33"/>
      <c r="AW43" s="33"/>
      <c r="AX43" s="33"/>
      <c r="AY43" s="33"/>
      <c r="AZ43" s="33"/>
      <c r="BA43" s="33"/>
      <c r="BB43" s="33"/>
      <c r="BC43" s="33"/>
      <c r="BD43" s="33"/>
      <c r="BE43" s="33"/>
      <c r="BF43" s="33"/>
      <c r="BG43" s="33"/>
      <c r="BH43" s="33"/>
      <c r="BI43" s="33"/>
      <c r="BJ43" s="33"/>
      <c r="BK43" s="33"/>
      <c r="BL43" s="33"/>
      <c r="BM43" s="33"/>
      <c r="BN43" s="33"/>
      <c r="BO43" s="33"/>
      <c r="BP43" s="33"/>
      <c r="BQ43" s="33"/>
      <c r="BR43" s="33"/>
      <c r="BS43" s="33"/>
      <c r="BT43" s="33"/>
      <c r="BU43" s="33"/>
      <c r="BV43" s="33"/>
      <c r="BW43" s="33"/>
      <c r="BX43" s="33"/>
      <c r="BY43" s="33"/>
      <c r="BZ43" s="33"/>
      <c r="CA43" s="33"/>
      <c r="CB43" s="33"/>
      <c r="CC43" s="33"/>
      <c r="CD43" s="33"/>
      <c r="CE43" s="33"/>
      <c r="CF43" s="33"/>
      <c r="CG43" s="33"/>
      <c r="CH43" s="33"/>
      <c r="CI43" s="33"/>
      <c r="CJ43" s="33"/>
      <c r="CK43" s="33"/>
      <c r="CL43" s="33"/>
      <c r="CM43" s="33"/>
      <c r="CN43" s="33"/>
      <c r="CO43" s="33"/>
      <c r="CP43" s="33"/>
    </row>
    <row r="44" spans="1:94" ht="30" customHeight="1" x14ac:dyDescent="0.25">
      <c r="A44" s="13">
        <f t="shared" si="14"/>
        <v>0</v>
      </c>
      <c r="B44" s="16"/>
      <c r="C44" s="33"/>
      <c r="D44" s="33"/>
      <c r="E44" s="33"/>
      <c r="F44" s="33"/>
      <c r="G44" s="33"/>
      <c r="H44" s="33"/>
      <c r="I44" s="33"/>
      <c r="J44" s="33"/>
      <c r="K44" s="33"/>
      <c r="L44" s="33"/>
      <c r="M44" s="33"/>
      <c r="N44" s="33"/>
      <c r="O44" s="33"/>
      <c r="P44" s="33"/>
      <c r="Q44" s="33"/>
      <c r="R44" s="33"/>
      <c r="S44" s="33"/>
      <c r="T44" s="33"/>
      <c r="U44" s="33"/>
      <c r="V44" s="33"/>
      <c r="W44" s="33"/>
      <c r="X44" s="33"/>
      <c r="Y44" s="33"/>
      <c r="Z44" s="33"/>
      <c r="AA44" s="33"/>
      <c r="AB44" s="33"/>
      <c r="AC44" s="33"/>
      <c r="AD44" s="33"/>
      <c r="AE44" s="33"/>
      <c r="AF44" s="33"/>
      <c r="AG44" s="33"/>
      <c r="AH44" s="33"/>
      <c r="AI44" s="33"/>
      <c r="AJ44" s="33"/>
      <c r="AK44" s="33"/>
      <c r="AL44" s="33"/>
      <c r="AM44" s="33"/>
      <c r="AN44" s="33"/>
      <c r="AO44" s="33"/>
      <c r="AP44" s="33"/>
      <c r="AQ44" s="33"/>
      <c r="AR44" s="33"/>
      <c r="AS44" s="33"/>
      <c r="AT44" s="33"/>
      <c r="AU44" s="33"/>
      <c r="AV44" s="33"/>
      <c r="AW44" s="33"/>
      <c r="AX44" s="33"/>
      <c r="AY44" s="33"/>
      <c r="AZ44" s="33"/>
      <c r="BA44" s="33"/>
      <c r="BB44" s="33"/>
      <c r="BC44" s="33"/>
      <c r="BD44" s="33"/>
      <c r="BE44" s="33"/>
      <c r="BF44" s="33"/>
      <c r="BG44" s="33"/>
      <c r="BH44" s="33"/>
      <c r="BI44" s="33"/>
      <c r="BJ44" s="33"/>
      <c r="BK44" s="33"/>
      <c r="BL44" s="33"/>
      <c r="BM44" s="33"/>
      <c r="BN44" s="33"/>
      <c r="BO44" s="33"/>
      <c r="BP44" s="33"/>
      <c r="BQ44" s="33"/>
      <c r="BR44" s="33"/>
      <c r="BS44" s="33"/>
      <c r="BT44" s="33"/>
      <c r="BU44" s="33"/>
      <c r="BV44" s="33"/>
      <c r="BW44" s="33"/>
      <c r="BX44" s="33"/>
      <c r="BY44" s="33"/>
      <c r="BZ44" s="33"/>
      <c r="CA44" s="33"/>
      <c r="CB44" s="33"/>
      <c r="CC44" s="33"/>
      <c r="CD44" s="33"/>
      <c r="CE44" s="33"/>
      <c r="CF44" s="33"/>
      <c r="CG44" s="33"/>
      <c r="CH44" s="33"/>
      <c r="CI44" s="33"/>
      <c r="CJ44" s="33"/>
      <c r="CK44" s="33"/>
      <c r="CL44" s="33"/>
      <c r="CM44" s="33"/>
      <c r="CN44" s="33"/>
      <c r="CO44" s="33"/>
      <c r="CP44" s="33"/>
    </row>
    <row r="45" spans="1:94" ht="30" customHeight="1" x14ac:dyDescent="0.25">
      <c r="A45" s="13">
        <f t="shared" si="14"/>
        <v>0</v>
      </c>
      <c r="B45" s="16"/>
      <c r="C45" s="33"/>
      <c r="D45" s="33"/>
      <c r="E45" s="33"/>
      <c r="F45" s="33"/>
      <c r="G45" s="33"/>
      <c r="H45" s="33"/>
      <c r="I45" s="33"/>
      <c r="J45" s="33"/>
      <c r="K45" s="33"/>
      <c r="L45" s="33"/>
      <c r="M45" s="33"/>
      <c r="N45" s="33"/>
      <c r="O45" s="33"/>
      <c r="P45" s="33"/>
      <c r="Q45" s="33"/>
      <c r="R45" s="33"/>
      <c r="S45" s="33"/>
      <c r="T45" s="33"/>
      <c r="U45" s="33"/>
      <c r="V45" s="33"/>
      <c r="W45" s="33"/>
      <c r="X45" s="33"/>
      <c r="Y45" s="33"/>
      <c r="Z45" s="33"/>
      <c r="AA45" s="33"/>
      <c r="AB45" s="33"/>
      <c r="AC45" s="33"/>
      <c r="AD45" s="33"/>
      <c r="AE45" s="33"/>
      <c r="AF45" s="33"/>
      <c r="AG45" s="33"/>
      <c r="AH45" s="33"/>
      <c r="AI45" s="33"/>
      <c r="AJ45" s="33"/>
      <c r="AK45" s="33"/>
      <c r="AL45" s="33"/>
      <c r="AM45" s="33"/>
      <c r="AN45" s="33"/>
      <c r="AO45" s="33"/>
      <c r="AP45" s="33"/>
      <c r="AQ45" s="33"/>
      <c r="AR45" s="33"/>
      <c r="AS45" s="33"/>
      <c r="AT45" s="33"/>
      <c r="AU45" s="33"/>
      <c r="AV45" s="33"/>
      <c r="AW45" s="33"/>
      <c r="AX45" s="33"/>
      <c r="AY45" s="33"/>
      <c r="AZ45" s="33"/>
      <c r="BA45" s="33"/>
      <c r="BB45" s="33"/>
      <c r="BC45" s="33"/>
      <c r="BD45" s="33"/>
      <c r="BE45" s="33"/>
      <c r="BF45" s="33"/>
      <c r="BG45" s="33"/>
      <c r="BH45" s="33"/>
      <c r="BI45" s="33"/>
      <c r="BJ45" s="33"/>
      <c r="BK45" s="33"/>
      <c r="BL45" s="33"/>
      <c r="BM45" s="33"/>
      <c r="BN45" s="33"/>
      <c r="BO45" s="33"/>
      <c r="BP45" s="33"/>
      <c r="BQ45" s="33"/>
      <c r="BR45" s="33"/>
      <c r="BS45" s="33"/>
      <c r="BT45" s="33"/>
      <c r="BU45" s="33"/>
      <c r="BV45" s="33"/>
      <c r="BW45" s="33"/>
      <c r="BX45" s="33"/>
      <c r="BY45" s="33"/>
      <c r="BZ45" s="33"/>
      <c r="CA45" s="33"/>
      <c r="CB45" s="33"/>
      <c r="CC45" s="33"/>
      <c r="CD45" s="33"/>
      <c r="CE45" s="33"/>
      <c r="CF45" s="33"/>
      <c r="CG45" s="33"/>
      <c r="CH45" s="33"/>
      <c r="CI45" s="33"/>
      <c r="CJ45" s="33"/>
      <c r="CK45" s="33"/>
      <c r="CL45" s="33"/>
      <c r="CM45" s="33"/>
      <c r="CN45" s="33"/>
      <c r="CO45" s="33"/>
      <c r="CP45" s="33"/>
    </row>
    <row r="46" spans="1:94" ht="30" customHeight="1" x14ac:dyDescent="0.25">
      <c r="A46" s="13">
        <f t="shared" si="14"/>
        <v>0</v>
      </c>
      <c r="B46" s="16"/>
      <c r="C46" s="33"/>
      <c r="D46" s="33"/>
      <c r="E46" s="33"/>
      <c r="F46" s="33"/>
      <c r="G46" s="33"/>
      <c r="H46" s="33"/>
      <c r="I46" s="33"/>
      <c r="J46" s="33"/>
      <c r="K46" s="33"/>
      <c r="L46" s="33"/>
      <c r="M46" s="33"/>
      <c r="N46" s="33"/>
      <c r="O46" s="33"/>
      <c r="P46" s="33"/>
      <c r="Q46" s="33"/>
      <c r="R46" s="33"/>
      <c r="S46" s="33"/>
      <c r="T46" s="33"/>
      <c r="U46" s="33"/>
      <c r="V46" s="33"/>
      <c r="W46" s="33"/>
      <c r="X46" s="33"/>
      <c r="Y46" s="33"/>
      <c r="Z46" s="33"/>
      <c r="AA46" s="33"/>
      <c r="AB46" s="33"/>
      <c r="AC46" s="33"/>
      <c r="AD46" s="33"/>
      <c r="AE46" s="33"/>
      <c r="AF46" s="33"/>
      <c r="AG46" s="33"/>
      <c r="AH46" s="33"/>
      <c r="AI46" s="33"/>
      <c r="AJ46" s="33"/>
      <c r="AK46" s="33"/>
      <c r="AL46" s="33"/>
      <c r="AM46" s="33"/>
      <c r="AN46" s="33"/>
      <c r="AO46" s="33"/>
      <c r="AP46" s="33"/>
      <c r="AQ46" s="33"/>
      <c r="AR46" s="33"/>
      <c r="AS46" s="33"/>
      <c r="AT46" s="33"/>
      <c r="AU46" s="33"/>
      <c r="AV46" s="33"/>
      <c r="AW46" s="33"/>
      <c r="AX46" s="33"/>
      <c r="AY46" s="33"/>
      <c r="AZ46" s="33"/>
      <c r="BA46" s="33"/>
      <c r="BB46" s="33"/>
      <c r="BC46" s="33"/>
      <c r="BD46" s="33"/>
      <c r="BE46" s="33"/>
      <c r="BF46" s="33"/>
      <c r="BG46" s="33"/>
      <c r="BH46" s="33"/>
      <c r="BI46" s="33"/>
      <c r="BJ46" s="33"/>
      <c r="BK46" s="33"/>
      <c r="BL46" s="33"/>
      <c r="BM46" s="33"/>
      <c r="BN46" s="33"/>
      <c r="BO46" s="33"/>
      <c r="BP46" s="33"/>
      <c r="BQ46" s="33"/>
      <c r="BR46" s="33"/>
      <c r="BS46" s="33"/>
      <c r="BT46" s="33"/>
      <c r="BU46" s="33"/>
      <c r="BV46" s="33"/>
      <c r="BW46" s="33"/>
      <c r="BX46" s="33"/>
      <c r="BY46" s="33"/>
      <c r="BZ46" s="33"/>
      <c r="CA46" s="33"/>
      <c r="CB46" s="33"/>
      <c r="CC46" s="33"/>
      <c r="CD46" s="33"/>
      <c r="CE46" s="33"/>
      <c r="CF46" s="33"/>
      <c r="CG46" s="33"/>
      <c r="CH46" s="33"/>
      <c r="CI46" s="33"/>
      <c r="CJ46" s="33"/>
      <c r="CK46" s="33"/>
      <c r="CL46" s="33"/>
      <c r="CM46" s="33"/>
      <c r="CN46" s="33"/>
      <c r="CO46" s="33"/>
      <c r="CP46" s="33"/>
    </row>
    <row r="47" spans="1:94" ht="30" customHeight="1" x14ac:dyDescent="0.25">
      <c r="A47" s="13">
        <f t="shared" si="14"/>
        <v>0</v>
      </c>
      <c r="B47" s="16"/>
      <c r="C47" s="33"/>
      <c r="D47" s="33"/>
      <c r="E47" s="33"/>
      <c r="F47" s="33"/>
      <c r="G47" s="33"/>
      <c r="H47" s="33"/>
      <c r="I47" s="33"/>
      <c r="J47" s="33"/>
      <c r="K47" s="33"/>
      <c r="L47" s="33"/>
      <c r="M47" s="33"/>
      <c r="N47" s="33"/>
      <c r="O47" s="33"/>
      <c r="P47" s="33"/>
      <c r="Q47" s="33"/>
      <c r="R47" s="33"/>
      <c r="S47" s="33"/>
      <c r="T47" s="33"/>
      <c r="U47" s="33"/>
      <c r="V47" s="33"/>
      <c r="W47" s="33"/>
      <c r="X47" s="33"/>
      <c r="Y47" s="33"/>
      <c r="Z47" s="33"/>
      <c r="AA47" s="33"/>
      <c r="AB47" s="33"/>
      <c r="AC47" s="33"/>
      <c r="AD47" s="33"/>
      <c r="AE47" s="33"/>
      <c r="AF47" s="33"/>
      <c r="AG47" s="33"/>
      <c r="AH47" s="33"/>
      <c r="AI47" s="33"/>
      <c r="AJ47" s="33"/>
      <c r="AK47" s="33"/>
      <c r="AL47" s="33"/>
      <c r="AM47" s="33"/>
      <c r="AN47" s="33"/>
      <c r="AO47" s="33"/>
      <c r="AP47" s="33"/>
      <c r="AQ47" s="33"/>
      <c r="AR47" s="33"/>
      <c r="AS47" s="33"/>
      <c r="AT47" s="33"/>
      <c r="AU47" s="33"/>
      <c r="AV47" s="33"/>
      <c r="AW47" s="33"/>
      <c r="AX47" s="33"/>
      <c r="AY47" s="33"/>
      <c r="AZ47" s="33"/>
      <c r="BA47" s="33"/>
      <c r="BB47" s="33"/>
      <c r="BC47" s="33"/>
      <c r="BD47" s="33"/>
      <c r="BE47" s="33"/>
      <c r="BF47" s="33"/>
      <c r="BG47" s="33"/>
      <c r="BH47" s="33"/>
      <c r="BI47" s="33"/>
      <c r="BJ47" s="33"/>
      <c r="BK47" s="33"/>
      <c r="BL47" s="33"/>
      <c r="BM47" s="33"/>
      <c r="BN47" s="33"/>
      <c r="BO47" s="33"/>
      <c r="BP47" s="33"/>
      <c r="BQ47" s="33"/>
      <c r="BR47" s="33"/>
      <c r="BS47" s="33"/>
      <c r="BT47" s="33"/>
      <c r="BU47" s="33"/>
      <c r="BV47" s="33"/>
      <c r="BW47" s="33"/>
      <c r="BX47" s="33"/>
      <c r="BY47" s="33"/>
      <c r="BZ47" s="33"/>
      <c r="CA47" s="33"/>
      <c r="CB47" s="33"/>
      <c r="CC47" s="33"/>
      <c r="CD47" s="33"/>
      <c r="CE47" s="33"/>
      <c r="CF47" s="33"/>
      <c r="CG47" s="33"/>
      <c r="CH47" s="33"/>
      <c r="CI47" s="33"/>
      <c r="CJ47" s="33"/>
      <c r="CK47" s="33"/>
      <c r="CL47" s="33"/>
      <c r="CM47" s="33"/>
      <c r="CN47" s="33"/>
      <c r="CO47" s="33"/>
      <c r="CP47" s="33"/>
    </row>
    <row r="48" spans="1:94" ht="30" customHeight="1" x14ac:dyDescent="0.25">
      <c r="A48" s="13">
        <f t="shared" si="14"/>
        <v>0</v>
      </c>
      <c r="B48" s="16"/>
      <c r="C48" s="33"/>
      <c r="D48" s="33"/>
      <c r="E48" s="33"/>
      <c r="F48" s="33"/>
      <c r="G48" s="33"/>
      <c r="H48" s="33"/>
      <c r="I48" s="33"/>
      <c r="J48" s="33"/>
      <c r="K48" s="33"/>
      <c r="L48" s="33"/>
      <c r="M48" s="33"/>
      <c r="N48" s="33"/>
      <c r="O48" s="33"/>
      <c r="P48" s="33"/>
      <c r="Q48" s="33"/>
      <c r="R48" s="33"/>
      <c r="S48" s="33"/>
      <c r="T48" s="33"/>
      <c r="U48" s="33"/>
      <c r="V48" s="33"/>
      <c r="W48" s="33"/>
      <c r="X48" s="33"/>
      <c r="Y48" s="33"/>
      <c r="Z48" s="33"/>
      <c r="AA48" s="33"/>
      <c r="AB48" s="33"/>
      <c r="AC48" s="33"/>
      <c r="AD48" s="33"/>
      <c r="AE48" s="33"/>
      <c r="AF48" s="33"/>
      <c r="AG48" s="33"/>
      <c r="AH48" s="33"/>
      <c r="AI48" s="33"/>
      <c r="AJ48" s="33"/>
      <c r="AK48" s="33"/>
      <c r="AL48" s="33"/>
      <c r="AM48" s="33"/>
      <c r="AN48" s="33"/>
      <c r="AO48" s="33"/>
      <c r="AP48" s="33"/>
      <c r="AQ48" s="33"/>
      <c r="AR48" s="33"/>
      <c r="AS48" s="33"/>
      <c r="AT48" s="33"/>
      <c r="AU48" s="33"/>
      <c r="AV48" s="33"/>
      <c r="AW48" s="33"/>
      <c r="AX48" s="33"/>
      <c r="AY48" s="33"/>
      <c r="AZ48" s="33"/>
      <c r="BA48" s="33"/>
      <c r="BB48" s="33"/>
      <c r="BC48" s="33"/>
      <c r="BD48" s="33"/>
      <c r="BE48" s="33"/>
      <c r="BF48" s="33"/>
      <c r="BG48" s="33"/>
      <c r="BH48" s="33"/>
      <c r="BI48" s="33"/>
      <c r="BJ48" s="33"/>
      <c r="BK48" s="33"/>
      <c r="BL48" s="33"/>
      <c r="BM48" s="33"/>
      <c r="BN48" s="33"/>
      <c r="BO48" s="33"/>
      <c r="BP48" s="33"/>
      <c r="BQ48" s="33"/>
      <c r="BR48" s="33"/>
      <c r="BS48" s="33"/>
      <c r="BT48" s="33"/>
      <c r="BU48" s="33"/>
      <c r="BV48" s="33"/>
      <c r="BW48" s="33"/>
      <c r="BX48" s="33"/>
      <c r="BY48" s="33"/>
      <c r="BZ48" s="33"/>
      <c r="CA48" s="33"/>
      <c r="CB48" s="33"/>
      <c r="CC48" s="33"/>
      <c r="CD48" s="33"/>
      <c r="CE48" s="33"/>
      <c r="CF48" s="33"/>
      <c r="CG48" s="33"/>
      <c r="CH48" s="33"/>
      <c r="CI48" s="33"/>
      <c r="CJ48" s="33"/>
      <c r="CK48" s="33"/>
      <c r="CL48" s="33"/>
      <c r="CM48" s="33"/>
      <c r="CN48" s="33"/>
      <c r="CO48" s="33"/>
      <c r="CP48" s="33"/>
    </row>
    <row r="49" spans="1:94" ht="30" customHeight="1" x14ac:dyDescent="0.25">
      <c r="A49" s="13">
        <f t="shared" si="14"/>
        <v>0</v>
      </c>
      <c r="B49" s="16"/>
      <c r="C49" s="33"/>
      <c r="D49" s="33"/>
      <c r="E49" s="33"/>
      <c r="F49" s="33"/>
      <c r="G49" s="33"/>
      <c r="H49" s="33"/>
      <c r="I49" s="33"/>
      <c r="J49" s="33"/>
      <c r="K49" s="33"/>
      <c r="L49" s="33"/>
      <c r="M49" s="33"/>
      <c r="N49" s="33"/>
      <c r="O49" s="33"/>
      <c r="P49" s="33"/>
      <c r="Q49" s="33"/>
      <c r="R49" s="33"/>
      <c r="S49" s="33"/>
      <c r="T49" s="33"/>
      <c r="U49" s="33"/>
      <c r="V49" s="33"/>
      <c r="W49" s="33"/>
      <c r="X49" s="33"/>
      <c r="Y49" s="33"/>
      <c r="Z49" s="33"/>
      <c r="AA49" s="33"/>
      <c r="AB49" s="33"/>
      <c r="AC49" s="33"/>
      <c r="AD49" s="33"/>
      <c r="AE49" s="33"/>
      <c r="AF49" s="33"/>
      <c r="AG49" s="33"/>
      <c r="AH49" s="33"/>
      <c r="AI49" s="33"/>
      <c r="AJ49" s="33"/>
      <c r="AK49" s="33"/>
      <c r="AL49" s="33"/>
      <c r="AM49" s="33"/>
      <c r="AN49" s="33"/>
      <c r="AO49" s="33"/>
      <c r="AP49" s="33"/>
      <c r="AQ49" s="33"/>
      <c r="AR49" s="33"/>
      <c r="AS49" s="33"/>
      <c r="AT49" s="33"/>
      <c r="AU49" s="33"/>
      <c r="AV49" s="33"/>
      <c r="AW49" s="33"/>
      <c r="AX49" s="33"/>
      <c r="AY49" s="33"/>
      <c r="AZ49" s="33"/>
      <c r="BA49" s="33"/>
      <c r="BB49" s="33"/>
      <c r="BC49" s="33"/>
      <c r="BD49" s="33"/>
      <c r="BE49" s="33"/>
      <c r="BF49" s="33"/>
      <c r="BG49" s="33"/>
      <c r="BH49" s="33"/>
      <c r="BI49" s="33"/>
      <c r="BJ49" s="33"/>
      <c r="BK49" s="33"/>
      <c r="BL49" s="33"/>
      <c r="BM49" s="33"/>
      <c r="BN49" s="33"/>
      <c r="BO49" s="33"/>
      <c r="BP49" s="33"/>
      <c r="BQ49" s="33"/>
      <c r="BR49" s="33"/>
      <c r="BS49" s="33"/>
      <c r="BT49" s="33"/>
      <c r="BU49" s="33"/>
      <c r="BV49" s="33"/>
      <c r="BW49" s="33"/>
      <c r="BX49" s="33"/>
      <c r="BY49" s="33"/>
      <c r="BZ49" s="33"/>
      <c r="CA49" s="33"/>
      <c r="CB49" s="33"/>
      <c r="CC49" s="33"/>
      <c r="CD49" s="33"/>
      <c r="CE49" s="33"/>
      <c r="CF49" s="33"/>
      <c r="CG49" s="33"/>
      <c r="CH49" s="33"/>
      <c r="CI49" s="33"/>
      <c r="CJ49" s="33"/>
      <c r="CK49" s="33"/>
      <c r="CL49" s="33"/>
      <c r="CM49" s="33"/>
      <c r="CN49" s="33"/>
      <c r="CO49" s="33"/>
      <c r="CP49" s="33"/>
    </row>
    <row r="50" spans="1:94" ht="30" customHeight="1" x14ac:dyDescent="0.25">
      <c r="A50" s="13">
        <f t="shared" si="14"/>
        <v>0</v>
      </c>
      <c r="B50" s="16"/>
      <c r="C50" s="33"/>
      <c r="D50" s="33"/>
      <c r="E50" s="33"/>
      <c r="F50" s="33"/>
      <c r="G50" s="33"/>
      <c r="H50" s="33"/>
      <c r="I50" s="33"/>
      <c r="J50" s="33"/>
      <c r="K50" s="33"/>
      <c r="L50" s="33"/>
      <c r="M50" s="33"/>
      <c r="N50" s="33"/>
      <c r="O50" s="33"/>
      <c r="P50" s="33"/>
      <c r="Q50" s="33"/>
      <c r="R50" s="33"/>
      <c r="S50" s="33"/>
      <c r="T50" s="33"/>
      <c r="U50" s="33"/>
      <c r="V50" s="33"/>
      <c r="W50" s="33"/>
      <c r="X50" s="33"/>
      <c r="Y50" s="33"/>
      <c r="Z50" s="33"/>
      <c r="AA50" s="33"/>
      <c r="AB50" s="33"/>
      <c r="AC50" s="33"/>
      <c r="AD50" s="33"/>
      <c r="AE50" s="33"/>
      <c r="AF50" s="33"/>
      <c r="AG50" s="33"/>
      <c r="AH50" s="33"/>
      <c r="AI50" s="33"/>
      <c r="AJ50" s="33"/>
      <c r="AK50" s="33"/>
      <c r="AL50" s="33"/>
      <c r="AM50" s="33"/>
      <c r="AN50" s="33"/>
      <c r="AO50" s="33"/>
      <c r="AP50" s="33"/>
      <c r="AQ50" s="33"/>
      <c r="AR50" s="33"/>
      <c r="AS50" s="33"/>
      <c r="AT50" s="33"/>
      <c r="AU50" s="33"/>
      <c r="AV50" s="33"/>
      <c r="AW50" s="33"/>
      <c r="AX50" s="33"/>
      <c r="AY50" s="33"/>
      <c r="AZ50" s="33"/>
      <c r="BA50" s="33"/>
      <c r="BB50" s="33"/>
      <c r="BC50" s="33"/>
      <c r="BD50" s="33"/>
      <c r="BE50" s="33"/>
      <c r="BF50" s="33"/>
      <c r="BG50" s="33"/>
      <c r="BH50" s="33"/>
      <c r="BI50" s="33"/>
      <c r="BJ50" s="33"/>
      <c r="BK50" s="33"/>
      <c r="BL50" s="33"/>
      <c r="BM50" s="33"/>
      <c r="BN50" s="33"/>
      <c r="BO50" s="33"/>
      <c r="BP50" s="33"/>
      <c r="BQ50" s="33"/>
      <c r="BR50" s="33"/>
      <c r="BS50" s="33"/>
      <c r="BT50" s="33"/>
      <c r="BU50" s="33"/>
      <c r="BV50" s="33"/>
      <c r="BW50" s="33"/>
      <c r="BX50" s="33"/>
      <c r="BY50" s="33"/>
      <c r="BZ50" s="33"/>
      <c r="CA50" s="33"/>
      <c r="CB50" s="33"/>
      <c r="CC50" s="33"/>
      <c r="CD50" s="33"/>
      <c r="CE50" s="33"/>
      <c r="CF50" s="33"/>
      <c r="CG50" s="33"/>
      <c r="CH50" s="33"/>
      <c r="CI50" s="33"/>
      <c r="CJ50" s="33"/>
      <c r="CK50" s="33"/>
      <c r="CL50" s="33"/>
      <c r="CM50" s="33"/>
      <c r="CN50" s="33"/>
      <c r="CO50" s="33"/>
      <c r="CP50" s="33"/>
    </row>
    <row r="51" spans="1:94" ht="30" customHeight="1" x14ac:dyDescent="0.25">
      <c r="A51" s="13">
        <f t="shared" si="14"/>
        <v>0</v>
      </c>
      <c r="B51" s="16"/>
      <c r="C51" s="33"/>
      <c r="D51" s="33"/>
      <c r="E51" s="33"/>
      <c r="F51" s="33"/>
      <c r="G51" s="33"/>
      <c r="H51" s="33"/>
      <c r="I51" s="33"/>
      <c r="J51" s="33"/>
      <c r="K51" s="33"/>
      <c r="L51" s="33"/>
      <c r="M51" s="33"/>
      <c r="N51" s="33"/>
      <c r="O51" s="33"/>
      <c r="P51" s="33"/>
      <c r="Q51" s="33"/>
      <c r="R51" s="33"/>
      <c r="S51" s="33"/>
      <c r="T51" s="33"/>
      <c r="U51" s="33"/>
      <c r="V51" s="33"/>
      <c r="W51" s="33"/>
      <c r="X51" s="33"/>
      <c r="Y51" s="33"/>
      <c r="Z51" s="33"/>
      <c r="AA51" s="33"/>
      <c r="AB51" s="33"/>
      <c r="AC51" s="33"/>
      <c r="AD51" s="33"/>
      <c r="AE51" s="33"/>
      <c r="AF51" s="33"/>
      <c r="AG51" s="33"/>
      <c r="AH51" s="33"/>
      <c r="AI51" s="33"/>
      <c r="AJ51" s="33"/>
      <c r="AK51" s="33"/>
      <c r="AL51" s="33"/>
      <c r="AM51" s="33"/>
      <c r="AN51" s="33"/>
      <c r="AO51" s="33"/>
      <c r="AP51" s="33"/>
      <c r="AQ51" s="33"/>
      <c r="AR51" s="33"/>
      <c r="AS51" s="33"/>
      <c r="AT51" s="33"/>
      <c r="AU51" s="33"/>
      <c r="AV51" s="33"/>
      <c r="AW51" s="33"/>
      <c r="AX51" s="33"/>
      <c r="AY51" s="33"/>
      <c r="AZ51" s="33"/>
      <c r="BA51" s="33"/>
      <c r="BB51" s="33"/>
      <c r="BC51" s="33"/>
      <c r="BD51" s="33"/>
      <c r="BE51" s="33"/>
      <c r="BF51" s="33"/>
      <c r="BG51" s="33"/>
      <c r="BH51" s="33"/>
      <c r="BI51" s="33"/>
      <c r="BJ51" s="33"/>
      <c r="BK51" s="33"/>
      <c r="BL51" s="33"/>
      <c r="BM51" s="33"/>
      <c r="BN51" s="33"/>
      <c r="BO51" s="33"/>
      <c r="BP51" s="33"/>
      <c r="BQ51" s="33"/>
      <c r="BR51" s="33"/>
      <c r="BS51" s="33"/>
      <c r="BT51" s="33"/>
      <c r="BU51" s="33"/>
      <c r="BV51" s="33"/>
      <c r="BW51" s="33"/>
      <c r="BX51" s="33"/>
      <c r="BY51" s="33"/>
      <c r="BZ51" s="33"/>
      <c r="CA51" s="33"/>
      <c r="CB51" s="33"/>
      <c r="CC51" s="33"/>
      <c r="CD51" s="33"/>
      <c r="CE51" s="33"/>
      <c r="CF51" s="33"/>
      <c r="CG51" s="33"/>
      <c r="CH51" s="33"/>
      <c r="CI51" s="33"/>
      <c r="CJ51" s="33"/>
      <c r="CK51" s="33"/>
      <c r="CL51" s="33"/>
      <c r="CM51" s="33"/>
      <c r="CN51" s="33"/>
      <c r="CO51" s="33"/>
      <c r="CP51" s="33"/>
    </row>
    <row r="52" spans="1:94" ht="30" customHeight="1" x14ac:dyDescent="0.25">
      <c r="A52" s="13">
        <f t="shared" si="14"/>
        <v>0</v>
      </c>
      <c r="B52" s="16"/>
      <c r="C52" s="33"/>
      <c r="D52" s="33"/>
      <c r="E52" s="33"/>
      <c r="F52" s="33"/>
      <c r="G52" s="33"/>
      <c r="H52" s="33"/>
      <c r="I52" s="33"/>
      <c r="J52" s="33"/>
      <c r="K52" s="33"/>
      <c r="L52" s="33"/>
      <c r="M52" s="33"/>
      <c r="N52" s="33"/>
      <c r="O52" s="33"/>
      <c r="P52" s="33"/>
      <c r="Q52" s="33"/>
      <c r="R52" s="33"/>
      <c r="S52" s="33"/>
      <c r="T52" s="33"/>
      <c r="U52" s="33"/>
      <c r="V52" s="33"/>
      <c r="W52" s="33"/>
      <c r="X52" s="33"/>
      <c r="Y52" s="33"/>
      <c r="Z52" s="33"/>
      <c r="AA52" s="33"/>
      <c r="AB52" s="33"/>
      <c r="AC52" s="33"/>
      <c r="AD52" s="33"/>
      <c r="AE52" s="33"/>
      <c r="AF52" s="33"/>
      <c r="AG52" s="33"/>
      <c r="AH52" s="33"/>
      <c r="AI52" s="33"/>
      <c r="AJ52" s="33"/>
      <c r="AK52" s="33"/>
      <c r="AL52" s="33"/>
      <c r="AM52" s="33"/>
      <c r="AN52" s="33"/>
      <c r="AO52" s="33"/>
      <c r="AP52" s="33"/>
      <c r="AQ52" s="33"/>
      <c r="AR52" s="33"/>
      <c r="AS52" s="33"/>
      <c r="AT52" s="33"/>
      <c r="AU52" s="33"/>
      <c r="AV52" s="33"/>
      <c r="AW52" s="33"/>
      <c r="AX52" s="33"/>
      <c r="AY52" s="33"/>
      <c r="AZ52" s="33"/>
      <c r="BA52" s="33"/>
      <c r="BB52" s="33"/>
      <c r="BC52" s="33"/>
      <c r="BD52" s="33"/>
      <c r="BE52" s="33"/>
      <c r="BF52" s="33"/>
      <c r="BG52" s="33"/>
      <c r="BH52" s="33"/>
      <c r="BI52" s="33"/>
      <c r="BJ52" s="33"/>
      <c r="BK52" s="33"/>
      <c r="BL52" s="33"/>
      <c r="BM52" s="33"/>
      <c r="BN52" s="33"/>
      <c r="BO52" s="33"/>
      <c r="BP52" s="33"/>
      <c r="BQ52" s="33"/>
      <c r="BR52" s="33"/>
      <c r="BS52" s="33"/>
      <c r="BT52" s="33"/>
      <c r="BU52" s="33"/>
      <c r="BV52" s="33"/>
      <c r="BW52" s="33"/>
      <c r="BX52" s="33"/>
      <c r="BY52" s="33"/>
      <c r="BZ52" s="33"/>
      <c r="CA52" s="33"/>
      <c r="CB52" s="33"/>
      <c r="CC52" s="33"/>
      <c r="CD52" s="33"/>
      <c r="CE52" s="33"/>
      <c r="CF52" s="33"/>
      <c r="CG52" s="33"/>
      <c r="CH52" s="33"/>
      <c r="CI52" s="33"/>
      <c r="CJ52" s="33"/>
      <c r="CK52" s="33"/>
      <c r="CL52" s="33"/>
      <c r="CM52" s="33"/>
      <c r="CN52" s="33"/>
      <c r="CO52" s="33"/>
      <c r="CP52" s="33"/>
    </row>
    <row r="53" spans="1:94" ht="30" customHeight="1" x14ac:dyDescent="0.25">
      <c r="A53" s="13">
        <f t="shared" si="14"/>
        <v>0</v>
      </c>
      <c r="B53" s="16"/>
      <c r="C53" s="33"/>
      <c r="D53" s="33"/>
      <c r="E53" s="33"/>
      <c r="F53" s="33"/>
      <c r="G53" s="33"/>
      <c r="H53" s="33"/>
      <c r="I53" s="33"/>
      <c r="J53" s="33"/>
      <c r="K53" s="33"/>
      <c r="L53" s="33"/>
      <c r="M53" s="33"/>
      <c r="N53" s="33"/>
      <c r="O53" s="33"/>
      <c r="P53" s="33"/>
      <c r="Q53" s="33"/>
      <c r="R53" s="33"/>
      <c r="S53" s="33"/>
      <c r="T53" s="33"/>
      <c r="U53" s="33"/>
      <c r="V53" s="33"/>
      <c r="W53" s="33"/>
      <c r="X53" s="33"/>
      <c r="Y53" s="33"/>
      <c r="Z53" s="33"/>
      <c r="AA53" s="33"/>
      <c r="AB53" s="33"/>
      <c r="AC53" s="33"/>
      <c r="AD53" s="33"/>
      <c r="AE53" s="33"/>
      <c r="AF53" s="33"/>
      <c r="AG53" s="33"/>
      <c r="AH53" s="33"/>
      <c r="AI53" s="33"/>
      <c r="AJ53" s="33"/>
      <c r="AK53" s="33"/>
      <c r="AL53" s="33"/>
      <c r="AM53" s="33"/>
      <c r="AN53" s="33"/>
      <c r="AO53" s="33"/>
      <c r="AP53" s="33"/>
      <c r="AQ53" s="33"/>
      <c r="AR53" s="33"/>
      <c r="AS53" s="33"/>
      <c r="AT53" s="33"/>
      <c r="AU53" s="33"/>
      <c r="AV53" s="33"/>
      <c r="AW53" s="33"/>
      <c r="AX53" s="33"/>
      <c r="AY53" s="33"/>
      <c r="AZ53" s="33"/>
      <c r="BA53" s="33"/>
      <c r="BB53" s="33"/>
      <c r="BC53" s="33"/>
      <c r="BD53" s="33"/>
      <c r="BE53" s="33"/>
      <c r="BF53" s="33"/>
      <c r="BG53" s="33"/>
      <c r="BH53" s="33"/>
      <c r="BI53" s="33"/>
      <c r="BJ53" s="33"/>
      <c r="BK53" s="33"/>
      <c r="BL53" s="33"/>
      <c r="BM53" s="33"/>
      <c r="BN53" s="33"/>
      <c r="BO53" s="33"/>
      <c r="BP53" s="33"/>
      <c r="BQ53" s="33"/>
      <c r="BR53" s="33"/>
      <c r="BS53" s="33"/>
      <c r="BT53" s="33"/>
      <c r="BU53" s="33"/>
      <c r="BV53" s="33"/>
      <c r="BW53" s="33"/>
      <c r="BX53" s="33"/>
      <c r="BY53" s="33"/>
      <c r="BZ53" s="33"/>
      <c r="CA53" s="33"/>
      <c r="CB53" s="33"/>
      <c r="CC53" s="33"/>
      <c r="CD53" s="33"/>
      <c r="CE53" s="33"/>
      <c r="CF53" s="33"/>
      <c r="CG53" s="33"/>
      <c r="CH53" s="33"/>
      <c r="CI53" s="33"/>
      <c r="CJ53" s="33"/>
      <c r="CK53" s="33"/>
      <c r="CL53" s="33"/>
      <c r="CM53" s="33"/>
      <c r="CN53" s="33"/>
      <c r="CO53" s="33"/>
      <c r="CP53" s="33"/>
    </row>
    <row r="54" spans="1:94" ht="30" customHeight="1" x14ac:dyDescent="0.25">
      <c r="A54" s="13">
        <f t="shared" si="14"/>
        <v>0</v>
      </c>
      <c r="B54" s="16"/>
      <c r="C54" s="33"/>
      <c r="D54" s="33"/>
      <c r="E54" s="33"/>
      <c r="F54" s="33"/>
      <c r="G54" s="33"/>
      <c r="H54" s="33"/>
      <c r="I54" s="33"/>
      <c r="J54" s="33"/>
      <c r="K54" s="33"/>
      <c r="L54" s="33"/>
      <c r="M54" s="33"/>
      <c r="N54" s="33"/>
      <c r="O54" s="33"/>
      <c r="P54" s="33"/>
      <c r="Q54" s="33"/>
      <c r="R54" s="33"/>
      <c r="S54" s="33"/>
      <c r="T54" s="33"/>
      <c r="U54" s="33"/>
      <c r="V54" s="33"/>
      <c r="W54" s="33"/>
      <c r="X54" s="33"/>
      <c r="Y54" s="33"/>
      <c r="Z54" s="33"/>
      <c r="AA54" s="33"/>
      <c r="AB54" s="33"/>
      <c r="AC54" s="33"/>
      <c r="AD54" s="33"/>
      <c r="AE54" s="33"/>
      <c r="AF54" s="33"/>
      <c r="AG54" s="33"/>
      <c r="AH54" s="33"/>
      <c r="AI54" s="33"/>
      <c r="AJ54" s="33"/>
      <c r="AK54" s="33"/>
      <c r="AL54" s="33"/>
      <c r="AM54" s="33"/>
      <c r="AN54" s="33"/>
      <c r="AO54" s="33"/>
      <c r="AP54" s="33"/>
      <c r="AQ54" s="33"/>
      <c r="AR54" s="33"/>
      <c r="AS54" s="33"/>
      <c r="AT54" s="33"/>
      <c r="AU54" s="33"/>
      <c r="AV54" s="33"/>
      <c r="AW54" s="33"/>
      <c r="AX54" s="33"/>
      <c r="AY54" s="33"/>
      <c r="AZ54" s="33"/>
      <c r="BA54" s="33"/>
      <c r="BB54" s="33"/>
      <c r="BC54" s="33"/>
      <c r="BD54" s="33"/>
      <c r="BE54" s="33"/>
      <c r="BF54" s="33"/>
      <c r="BG54" s="33"/>
      <c r="BH54" s="33"/>
      <c r="BI54" s="33"/>
      <c r="BJ54" s="33"/>
      <c r="BK54" s="33"/>
      <c r="BL54" s="33"/>
      <c r="BM54" s="33"/>
      <c r="BN54" s="33"/>
      <c r="BO54" s="33"/>
      <c r="BP54" s="33"/>
      <c r="BQ54" s="33"/>
      <c r="BR54" s="33"/>
      <c r="BS54" s="33"/>
      <c r="BT54" s="33"/>
      <c r="BU54" s="33"/>
      <c r="BV54" s="33"/>
      <c r="BW54" s="33"/>
      <c r="BX54" s="33"/>
      <c r="BY54" s="33"/>
      <c r="BZ54" s="33"/>
      <c r="CA54" s="33"/>
      <c r="CB54" s="33"/>
      <c r="CC54" s="33"/>
      <c r="CD54" s="33"/>
      <c r="CE54" s="33"/>
      <c r="CF54" s="33"/>
      <c r="CG54" s="33"/>
      <c r="CH54" s="33"/>
      <c r="CI54" s="33"/>
      <c r="CJ54" s="33"/>
      <c r="CK54" s="33"/>
      <c r="CL54" s="33"/>
      <c r="CM54" s="33"/>
      <c r="CN54" s="33"/>
      <c r="CO54" s="33"/>
      <c r="CP54" s="33"/>
    </row>
    <row r="55" spans="1:94" ht="30" customHeight="1" x14ac:dyDescent="0.25">
      <c r="A55" s="13">
        <f t="shared" si="14"/>
        <v>0</v>
      </c>
      <c r="B55" s="16"/>
      <c r="C55" s="33"/>
      <c r="D55" s="33"/>
      <c r="E55" s="33"/>
      <c r="F55" s="33"/>
      <c r="G55" s="33"/>
      <c r="H55" s="33"/>
      <c r="I55" s="33"/>
      <c r="J55" s="33"/>
      <c r="K55" s="33"/>
      <c r="L55" s="33"/>
      <c r="M55" s="33"/>
      <c r="N55" s="33"/>
      <c r="O55" s="33"/>
      <c r="P55" s="33"/>
      <c r="Q55" s="33"/>
      <c r="R55" s="33"/>
      <c r="S55" s="33"/>
      <c r="T55" s="33"/>
      <c r="U55" s="33"/>
      <c r="V55" s="33"/>
      <c r="W55" s="33"/>
      <c r="X55" s="33"/>
      <c r="Y55" s="33"/>
      <c r="Z55" s="33"/>
      <c r="AA55" s="33"/>
      <c r="AB55" s="33"/>
      <c r="AC55" s="33"/>
      <c r="AD55" s="33"/>
      <c r="AE55" s="33"/>
      <c r="AF55" s="33"/>
      <c r="AG55" s="33"/>
      <c r="AH55" s="33"/>
      <c r="AI55" s="33"/>
      <c r="AJ55" s="33"/>
      <c r="AK55" s="33"/>
      <c r="AL55" s="33"/>
      <c r="AM55" s="33"/>
      <c r="AN55" s="33"/>
      <c r="AO55" s="33"/>
      <c r="AP55" s="33"/>
      <c r="AQ55" s="33"/>
      <c r="AR55" s="33"/>
      <c r="AS55" s="33"/>
      <c r="AT55" s="33"/>
      <c r="AU55" s="33"/>
      <c r="AV55" s="33"/>
      <c r="AW55" s="33"/>
      <c r="AX55" s="33"/>
      <c r="AY55" s="33"/>
      <c r="AZ55" s="33"/>
      <c r="BA55" s="33"/>
      <c r="BB55" s="33"/>
      <c r="BC55" s="33"/>
      <c r="BD55" s="33"/>
      <c r="BE55" s="33"/>
      <c r="BF55" s="33"/>
      <c r="BG55" s="33"/>
      <c r="BH55" s="33"/>
      <c r="BI55" s="33"/>
      <c r="BJ55" s="33"/>
      <c r="BK55" s="33"/>
      <c r="BL55" s="33"/>
      <c r="BM55" s="33"/>
      <c r="BN55" s="33"/>
      <c r="BO55" s="33"/>
      <c r="BP55" s="33"/>
      <c r="BQ55" s="33"/>
      <c r="BR55" s="33"/>
      <c r="BS55" s="33"/>
      <c r="BT55" s="33"/>
      <c r="BU55" s="33"/>
      <c r="BV55" s="33"/>
      <c r="BW55" s="33"/>
      <c r="BX55" s="33"/>
      <c r="BY55" s="33"/>
      <c r="BZ55" s="33"/>
      <c r="CA55" s="33"/>
      <c r="CB55" s="33"/>
      <c r="CC55" s="33"/>
      <c r="CD55" s="33"/>
      <c r="CE55" s="33"/>
      <c r="CF55" s="33"/>
      <c r="CG55" s="33"/>
      <c r="CH55" s="33"/>
      <c r="CI55" s="33"/>
      <c r="CJ55" s="33"/>
      <c r="CK55" s="33"/>
      <c r="CL55" s="33"/>
      <c r="CM55" s="33"/>
      <c r="CN55" s="33"/>
      <c r="CO55" s="33"/>
      <c r="CP55" s="33"/>
    </row>
    <row r="56" spans="1:94" ht="30" customHeight="1" x14ac:dyDescent="0.25">
      <c r="A56" s="13">
        <f t="shared" si="14"/>
        <v>0</v>
      </c>
      <c r="B56" s="16"/>
      <c r="C56" s="33"/>
      <c r="D56" s="33"/>
      <c r="E56" s="33"/>
      <c r="F56" s="33"/>
      <c r="G56" s="33"/>
      <c r="H56" s="33"/>
      <c r="I56" s="33"/>
      <c r="J56" s="33"/>
      <c r="K56" s="33"/>
      <c r="L56" s="33"/>
      <c r="M56" s="33"/>
      <c r="N56" s="33"/>
      <c r="O56" s="33"/>
      <c r="P56" s="33"/>
      <c r="Q56" s="33"/>
      <c r="R56" s="33"/>
      <c r="S56" s="33"/>
      <c r="T56" s="33"/>
      <c r="U56" s="33"/>
      <c r="V56" s="33"/>
      <c r="W56" s="33"/>
      <c r="X56" s="33"/>
      <c r="Y56" s="33"/>
      <c r="Z56" s="33"/>
      <c r="AA56" s="33"/>
      <c r="AB56" s="33"/>
      <c r="AC56" s="33"/>
      <c r="AD56" s="33"/>
      <c r="AE56" s="33"/>
      <c r="AF56" s="33"/>
      <c r="AG56" s="33"/>
      <c r="AH56" s="33"/>
      <c r="AI56" s="33"/>
      <c r="AJ56" s="33"/>
      <c r="AK56" s="33"/>
      <c r="AL56" s="33"/>
      <c r="AM56" s="33"/>
      <c r="AN56" s="33"/>
      <c r="AO56" s="33"/>
      <c r="AP56" s="33"/>
      <c r="AQ56" s="33"/>
      <c r="AR56" s="33"/>
      <c r="AS56" s="33"/>
      <c r="AT56" s="33"/>
      <c r="AU56" s="33"/>
      <c r="AV56" s="33"/>
      <c r="AW56" s="33"/>
      <c r="AX56" s="33"/>
      <c r="AY56" s="33"/>
      <c r="AZ56" s="33"/>
      <c r="BA56" s="33"/>
      <c r="BB56" s="33"/>
      <c r="BC56" s="33"/>
      <c r="BD56" s="33"/>
      <c r="BE56" s="33"/>
      <c r="BF56" s="33"/>
      <c r="BG56" s="33"/>
      <c r="BH56" s="33"/>
      <c r="BI56" s="33"/>
      <c r="BJ56" s="33"/>
      <c r="BK56" s="33"/>
      <c r="BL56" s="33"/>
      <c r="BM56" s="33"/>
      <c r="BN56" s="33"/>
      <c r="BO56" s="33"/>
      <c r="BP56" s="33"/>
      <c r="BQ56" s="33"/>
      <c r="BR56" s="33"/>
      <c r="BS56" s="33"/>
      <c r="BT56" s="33"/>
      <c r="BU56" s="33"/>
      <c r="BV56" s="33"/>
      <c r="BW56" s="33"/>
      <c r="BX56" s="33"/>
      <c r="BY56" s="33"/>
      <c r="BZ56" s="33"/>
      <c r="CA56" s="33"/>
      <c r="CB56" s="33"/>
      <c r="CC56" s="33"/>
      <c r="CD56" s="33"/>
      <c r="CE56" s="33"/>
      <c r="CF56" s="33"/>
      <c r="CG56" s="33"/>
      <c r="CH56" s="33"/>
      <c r="CI56" s="33"/>
      <c r="CJ56" s="33"/>
      <c r="CK56" s="33"/>
      <c r="CL56" s="33"/>
      <c r="CM56" s="33"/>
      <c r="CN56" s="33"/>
      <c r="CO56" s="33"/>
      <c r="CP56" s="33"/>
    </row>
    <row r="57" spans="1:94" ht="30" customHeight="1" x14ac:dyDescent="0.25">
      <c r="A57" s="13">
        <f t="shared" si="14"/>
        <v>0</v>
      </c>
      <c r="B57" s="16"/>
      <c r="C57" s="33"/>
      <c r="D57" s="33"/>
      <c r="E57" s="33"/>
      <c r="F57" s="33"/>
      <c r="G57" s="33"/>
      <c r="H57" s="33"/>
      <c r="I57" s="33"/>
      <c r="J57" s="33"/>
      <c r="K57" s="33"/>
      <c r="L57" s="33"/>
      <c r="M57" s="33"/>
      <c r="N57" s="33"/>
      <c r="O57" s="33"/>
      <c r="P57" s="33"/>
      <c r="Q57" s="33"/>
      <c r="R57" s="33"/>
      <c r="S57" s="33"/>
      <c r="T57" s="33"/>
      <c r="U57" s="33"/>
      <c r="V57" s="33"/>
      <c r="W57" s="33"/>
      <c r="X57" s="33"/>
      <c r="Y57" s="33"/>
      <c r="Z57" s="33"/>
      <c r="AA57" s="33"/>
      <c r="AB57" s="33"/>
      <c r="AC57" s="33"/>
      <c r="AD57" s="33"/>
      <c r="AE57" s="33"/>
      <c r="AF57" s="33"/>
      <c r="AG57" s="33"/>
      <c r="AH57" s="33"/>
      <c r="AI57" s="33"/>
      <c r="AJ57" s="33"/>
      <c r="AK57" s="33"/>
      <c r="AL57" s="33"/>
      <c r="AM57" s="33"/>
      <c r="AN57" s="33"/>
      <c r="AO57" s="33"/>
      <c r="AP57" s="33"/>
      <c r="AQ57" s="33"/>
      <c r="AR57" s="33"/>
      <c r="AS57" s="33"/>
      <c r="AT57" s="33"/>
      <c r="AU57" s="33"/>
      <c r="AV57" s="33"/>
      <c r="AW57" s="33"/>
      <c r="AX57" s="33"/>
      <c r="AY57" s="33"/>
      <c r="AZ57" s="33"/>
      <c r="BA57" s="33"/>
      <c r="BB57" s="33"/>
      <c r="BC57" s="33"/>
      <c r="BD57" s="33"/>
      <c r="BE57" s="33"/>
      <c r="BF57" s="33"/>
      <c r="BG57" s="33"/>
      <c r="BH57" s="33"/>
      <c r="BI57" s="33"/>
      <c r="BJ57" s="33"/>
      <c r="BK57" s="33"/>
      <c r="BL57" s="33"/>
      <c r="BM57" s="33"/>
      <c r="BN57" s="33"/>
      <c r="BO57" s="33"/>
      <c r="BP57" s="33"/>
      <c r="BQ57" s="33"/>
      <c r="BR57" s="33"/>
      <c r="BS57" s="33"/>
      <c r="BT57" s="33"/>
      <c r="BU57" s="33"/>
      <c r="BV57" s="33"/>
      <c r="BW57" s="33"/>
      <c r="BX57" s="33"/>
      <c r="BY57" s="33"/>
      <c r="BZ57" s="33"/>
      <c r="CA57" s="33"/>
      <c r="CB57" s="33"/>
      <c r="CC57" s="33"/>
      <c r="CD57" s="33"/>
      <c r="CE57" s="33"/>
      <c r="CF57" s="33"/>
      <c r="CG57" s="33"/>
      <c r="CH57" s="33"/>
      <c r="CI57" s="33"/>
      <c r="CJ57" s="33"/>
      <c r="CK57" s="33"/>
      <c r="CL57" s="33"/>
      <c r="CM57" s="33"/>
      <c r="CN57" s="33"/>
      <c r="CO57" s="33"/>
      <c r="CP57" s="33"/>
    </row>
    <row r="58" spans="1:94" ht="30" customHeight="1" x14ac:dyDescent="0.25">
      <c r="A58" s="13">
        <f t="shared" si="14"/>
        <v>0</v>
      </c>
      <c r="B58" s="16"/>
      <c r="C58" s="33"/>
      <c r="D58" s="33"/>
      <c r="E58" s="33"/>
      <c r="F58" s="33"/>
      <c r="G58" s="33"/>
      <c r="H58" s="33"/>
      <c r="I58" s="33"/>
      <c r="J58" s="33"/>
      <c r="K58" s="33"/>
      <c r="L58" s="33"/>
      <c r="M58" s="33"/>
      <c r="N58" s="33"/>
      <c r="O58" s="33"/>
      <c r="P58" s="33"/>
      <c r="Q58" s="33"/>
      <c r="R58" s="33"/>
      <c r="S58" s="33"/>
      <c r="T58" s="33"/>
      <c r="U58" s="33"/>
      <c r="V58" s="33"/>
      <c r="W58" s="33"/>
      <c r="X58" s="33"/>
      <c r="Y58" s="33"/>
      <c r="Z58" s="33"/>
      <c r="AA58" s="33"/>
      <c r="AB58" s="33"/>
      <c r="AC58" s="33"/>
      <c r="AD58" s="33"/>
      <c r="AE58" s="33"/>
      <c r="AF58" s="33"/>
      <c r="AG58" s="33"/>
      <c r="AH58" s="33"/>
      <c r="AI58" s="33"/>
      <c r="AJ58" s="33"/>
      <c r="AK58" s="33"/>
      <c r="AL58" s="33"/>
      <c r="AM58" s="33"/>
      <c r="AN58" s="33"/>
      <c r="AO58" s="33"/>
      <c r="AP58" s="33"/>
      <c r="AQ58" s="33"/>
      <c r="AR58" s="33"/>
      <c r="AS58" s="33"/>
      <c r="AT58" s="33"/>
      <c r="AU58" s="33"/>
      <c r="AV58" s="33"/>
      <c r="AW58" s="33"/>
      <c r="AX58" s="33"/>
      <c r="AY58" s="33"/>
      <c r="AZ58" s="33"/>
      <c r="BA58" s="33"/>
      <c r="BB58" s="33"/>
      <c r="BC58" s="33"/>
      <c r="BD58" s="33"/>
      <c r="BE58" s="33"/>
      <c r="BF58" s="33"/>
      <c r="BG58" s="33"/>
      <c r="BH58" s="33"/>
      <c r="BI58" s="33"/>
      <c r="BJ58" s="33"/>
      <c r="BK58" s="33"/>
      <c r="BL58" s="33"/>
      <c r="BM58" s="33"/>
      <c r="BN58" s="33"/>
      <c r="BO58" s="33"/>
      <c r="BP58" s="33"/>
      <c r="BQ58" s="33"/>
      <c r="BR58" s="33"/>
      <c r="BS58" s="33"/>
      <c r="BT58" s="33"/>
      <c r="BU58" s="33"/>
      <c r="BV58" s="33"/>
      <c r="BW58" s="33"/>
      <c r="BX58" s="33"/>
      <c r="BY58" s="33"/>
      <c r="BZ58" s="33"/>
      <c r="CA58" s="33"/>
      <c r="CB58" s="33"/>
      <c r="CC58" s="33"/>
      <c r="CD58" s="33"/>
      <c r="CE58" s="33"/>
      <c r="CF58" s="33"/>
      <c r="CG58" s="33"/>
      <c r="CH58" s="33"/>
      <c r="CI58" s="33"/>
      <c r="CJ58" s="33"/>
      <c r="CK58" s="33"/>
      <c r="CL58" s="33"/>
      <c r="CM58" s="33"/>
      <c r="CN58" s="33"/>
      <c r="CO58" s="33"/>
      <c r="CP58" s="33"/>
    </row>
    <row r="59" spans="1:94" ht="30" customHeight="1" x14ac:dyDescent="0.25">
      <c r="A59" s="13">
        <f t="shared" si="14"/>
        <v>0</v>
      </c>
      <c r="B59" s="16"/>
      <c r="C59" s="33"/>
      <c r="D59" s="33"/>
      <c r="E59" s="33"/>
      <c r="F59" s="33"/>
      <c r="G59" s="33"/>
      <c r="H59" s="33"/>
      <c r="I59" s="33"/>
      <c r="J59" s="33"/>
      <c r="K59" s="33"/>
      <c r="L59" s="33"/>
      <c r="M59" s="33"/>
      <c r="N59" s="33"/>
      <c r="O59" s="33"/>
      <c r="P59" s="33"/>
      <c r="Q59" s="33"/>
      <c r="R59" s="33"/>
      <c r="S59" s="33"/>
      <c r="T59" s="33"/>
      <c r="U59" s="33"/>
      <c r="V59" s="33"/>
      <c r="W59" s="33"/>
      <c r="X59" s="33"/>
      <c r="Y59" s="33"/>
      <c r="Z59" s="33"/>
      <c r="AA59" s="33"/>
      <c r="AB59" s="33"/>
      <c r="AC59" s="33"/>
      <c r="AD59" s="33"/>
      <c r="AE59" s="33"/>
      <c r="AF59" s="33"/>
      <c r="AG59" s="33"/>
      <c r="AH59" s="33"/>
      <c r="AI59" s="33"/>
      <c r="AJ59" s="33"/>
      <c r="AK59" s="33"/>
      <c r="AL59" s="33"/>
      <c r="AM59" s="33"/>
      <c r="AN59" s="33"/>
      <c r="AO59" s="33"/>
      <c r="AP59" s="33"/>
      <c r="AQ59" s="33"/>
      <c r="AR59" s="33"/>
      <c r="AS59" s="33"/>
      <c r="AT59" s="33"/>
      <c r="AU59" s="33"/>
      <c r="AV59" s="33"/>
      <c r="AW59" s="33"/>
      <c r="AX59" s="33"/>
      <c r="AY59" s="33"/>
      <c r="AZ59" s="33"/>
      <c r="BA59" s="33"/>
      <c r="BB59" s="33"/>
      <c r="BC59" s="33"/>
      <c r="BD59" s="33"/>
      <c r="BE59" s="33"/>
      <c r="BF59" s="33"/>
      <c r="BG59" s="33"/>
      <c r="BH59" s="33"/>
      <c r="BI59" s="33"/>
      <c r="BJ59" s="33"/>
      <c r="BK59" s="33"/>
      <c r="BL59" s="33"/>
      <c r="BM59" s="33"/>
      <c r="BN59" s="33"/>
      <c r="BO59" s="33"/>
      <c r="BP59" s="33"/>
      <c r="BQ59" s="33"/>
      <c r="BR59" s="33"/>
      <c r="BS59" s="33"/>
      <c r="BT59" s="33"/>
      <c r="BU59" s="33"/>
      <c r="BV59" s="33"/>
      <c r="BW59" s="33"/>
      <c r="BX59" s="33"/>
      <c r="BY59" s="33"/>
      <c r="BZ59" s="33"/>
      <c r="CA59" s="33"/>
      <c r="CB59" s="33"/>
      <c r="CC59" s="33"/>
      <c r="CD59" s="33"/>
      <c r="CE59" s="33"/>
      <c r="CF59" s="33"/>
      <c r="CG59" s="33"/>
      <c r="CH59" s="33"/>
      <c r="CI59" s="33"/>
      <c r="CJ59" s="33"/>
      <c r="CK59" s="33"/>
      <c r="CL59" s="33"/>
      <c r="CM59" s="33"/>
      <c r="CN59" s="33"/>
      <c r="CO59" s="33"/>
      <c r="CP59" s="33"/>
    </row>
    <row r="60" spans="1:94" ht="30" customHeight="1" x14ac:dyDescent="0.25">
      <c r="A60" s="13">
        <f t="shared" si="14"/>
        <v>0</v>
      </c>
      <c r="B60" s="16"/>
      <c r="C60" s="33"/>
      <c r="D60" s="33"/>
      <c r="E60" s="33"/>
      <c r="F60" s="33"/>
      <c r="G60" s="33"/>
      <c r="H60" s="33"/>
      <c r="I60" s="33"/>
      <c r="J60" s="33"/>
      <c r="K60" s="33"/>
      <c r="L60" s="33"/>
      <c r="M60" s="33"/>
      <c r="N60" s="33"/>
      <c r="O60" s="33"/>
      <c r="P60" s="33"/>
      <c r="Q60" s="33"/>
      <c r="R60" s="33"/>
      <c r="S60" s="33"/>
      <c r="T60" s="33"/>
      <c r="U60" s="33"/>
      <c r="V60" s="33"/>
      <c r="W60" s="33"/>
      <c r="X60" s="33"/>
      <c r="Y60" s="33"/>
      <c r="Z60" s="33"/>
      <c r="AA60" s="33"/>
      <c r="AB60" s="33"/>
      <c r="AC60" s="33"/>
      <c r="AD60" s="33"/>
      <c r="AE60" s="33"/>
      <c r="AF60" s="33"/>
      <c r="AG60" s="33"/>
      <c r="AH60" s="33"/>
      <c r="AI60" s="33"/>
      <c r="AJ60" s="33"/>
      <c r="AK60" s="33"/>
      <c r="AL60" s="33"/>
      <c r="AM60" s="33"/>
      <c r="AN60" s="33"/>
      <c r="AO60" s="33"/>
      <c r="AP60" s="33"/>
      <c r="AQ60" s="33"/>
      <c r="AR60" s="33"/>
      <c r="AS60" s="33"/>
      <c r="AT60" s="33"/>
      <c r="AU60" s="33"/>
      <c r="AV60" s="33"/>
      <c r="AW60" s="33"/>
      <c r="AX60" s="33"/>
      <c r="AY60" s="33"/>
      <c r="AZ60" s="33"/>
      <c r="BA60" s="33"/>
      <c r="BB60" s="33"/>
      <c r="BC60" s="33"/>
      <c r="BD60" s="33"/>
      <c r="BE60" s="33"/>
      <c r="BF60" s="33"/>
      <c r="BG60" s="33"/>
      <c r="BH60" s="33"/>
      <c r="BI60" s="33"/>
      <c r="BJ60" s="33"/>
      <c r="BK60" s="33"/>
      <c r="BL60" s="33"/>
      <c r="BM60" s="33"/>
      <c r="BN60" s="33"/>
      <c r="BO60" s="33"/>
      <c r="BP60" s="33"/>
      <c r="BQ60" s="33"/>
      <c r="BR60" s="33"/>
      <c r="BS60" s="33"/>
      <c r="BT60" s="33"/>
      <c r="BU60" s="33"/>
      <c r="BV60" s="33"/>
      <c r="BW60" s="33"/>
      <c r="BX60" s="33"/>
      <c r="BY60" s="33"/>
      <c r="BZ60" s="33"/>
      <c r="CA60" s="33"/>
      <c r="CB60" s="33"/>
      <c r="CC60" s="33"/>
      <c r="CD60" s="33"/>
      <c r="CE60" s="33"/>
      <c r="CF60" s="33"/>
      <c r="CG60" s="33"/>
      <c r="CH60" s="33"/>
      <c r="CI60" s="33"/>
      <c r="CJ60" s="33"/>
      <c r="CK60" s="33"/>
      <c r="CL60" s="33"/>
      <c r="CM60" s="33"/>
      <c r="CN60" s="33"/>
      <c r="CO60" s="33"/>
      <c r="CP60" s="33"/>
    </row>
    <row r="61" spans="1:94" ht="30" customHeight="1" x14ac:dyDescent="0.25">
      <c r="A61" s="13">
        <f t="shared" si="14"/>
        <v>0</v>
      </c>
      <c r="B61" s="16"/>
      <c r="C61" s="33"/>
      <c r="D61" s="33"/>
      <c r="E61" s="33"/>
      <c r="F61" s="33"/>
      <c r="G61" s="33"/>
      <c r="H61" s="33"/>
      <c r="I61" s="33"/>
      <c r="J61" s="33"/>
      <c r="K61" s="33"/>
      <c r="L61" s="33"/>
      <c r="M61" s="33"/>
      <c r="N61" s="33"/>
      <c r="O61" s="33"/>
      <c r="P61" s="33"/>
      <c r="Q61" s="33"/>
      <c r="R61" s="33"/>
      <c r="S61" s="33"/>
      <c r="T61" s="33"/>
      <c r="U61" s="33"/>
      <c r="V61" s="33"/>
      <c r="W61" s="33"/>
      <c r="X61" s="33"/>
      <c r="Y61" s="33"/>
      <c r="Z61" s="33"/>
      <c r="AA61" s="33"/>
      <c r="AB61" s="33"/>
      <c r="AC61" s="33"/>
      <c r="AD61" s="33"/>
      <c r="AE61" s="33"/>
      <c r="AF61" s="33"/>
      <c r="AG61" s="33"/>
      <c r="AH61" s="33"/>
      <c r="AI61" s="33"/>
      <c r="AJ61" s="33"/>
      <c r="AK61" s="33"/>
      <c r="AL61" s="33"/>
      <c r="AM61" s="33"/>
      <c r="AN61" s="33"/>
      <c r="AO61" s="33"/>
      <c r="AP61" s="33"/>
      <c r="AQ61" s="33"/>
      <c r="AR61" s="33"/>
      <c r="AS61" s="33"/>
      <c r="AT61" s="33"/>
      <c r="AU61" s="33"/>
      <c r="AV61" s="33"/>
      <c r="AW61" s="33"/>
      <c r="AX61" s="33"/>
      <c r="AY61" s="33"/>
      <c r="AZ61" s="33"/>
      <c r="BA61" s="33"/>
      <c r="BB61" s="33"/>
      <c r="BC61" s="33"/>
      <c r="BD61" s="33"/>
      <c r="BE61" s="33"/>
      <c r="BF61" s="33"/>
      <c r="BG61" s="33"/>
      <c r="BH61" s="33"/>
      <c r="BI61" s="33"/>
      <c r="BJ61" s="33"/>
      <c r="BK61" s="33"/>
      <c r="BL61" s="33"/>
      <c r="BM61" s="33"/>
      <c r="BN61" s="33"/>
      <c r="BO61" s="33"/>
      <c r="BP61" s="33"/>
      <c r="BQ61" s="33"/>
      <c r="BR61" s="33"/>
      <c r="BS61" s="33"/>
      <c r="BT61" s="33"/>
      <c r="BU61" s="33"/>
      <c r="BV61" s="33"/>
      <c r="BW61" s="33"/>
      <c r="BX61" s="33"/>
      <c r="BY61" s="33"/>
      <c r="BZ61" s="33"/>
      <c r="CA61" s="33"/>
      <c r="CB61" s="33"/>
      <c r="CC61" s="33"/>
      <c r="CD61" s="33"/>
      <c r="CE61" s="33"/>
      <c r="CF61" s="33"/>
      <c r="CG61" s="33"/>
      <c r="CH61" s="33"/>
      <c r="CI61" s="33"/>
      <c r="CJ61" s="33"/>
      <c r="CK61" s="33"/>
      <c r="CL61" s="33"/>
      <c r="CM61" s="33"/>
      <c r="CN61" s="33"/>
      <c r="CO61" s="33"/>
      <c r="CP61" s="33"/>
    </row>
  </sheetData>
  <mergeCells count="21">
    <mergeCell ref="C3:F3"/>
    <mergeCell ref="C1:D1"/>
    <mergeCell ref="C2:D2"/>
    <mergeCell ref="H1:M1"/>
    <mergeCell ref="H2:M2"/>
    <mergeCell ref="E1:F1"/>
    <mergeCell ref="E2:F2"/>
    <mergeCell ref="O2:U2"/>
    <mergeCell ref="X2:AD2"/>
    <mergeCell ref="BZ2:CF2"/>
    <mergeCell ref="M34:U34"/>
    <mergeCell ref="AR34:AZ34"/>
    <mergeCell ref="BW34:CE34"/>
    <mergeCell ref="AG2:AM2"/>
    <mergeCell ref="AP2:AV2"/>
    <mergeCell ref="AY2:BE2"/>
    <mergeCell ref="BH2:BN2"/>
    <mergeCell ref="BQ2:BW2"/>
    <mergeCell ref="M5:U5"/>
    <mergeCell ref="AQ5:AY5"/>
    <mergeCell ref="BV5:CD5"/>
  </mergeCells>
  <conditionalFormatting sqref="V2:W2">
    <cfRule type="expression" dxfId="11" priority="10" stopIfTrue="1">
      <formula>OR(B$7=1,B$7=7)</formula>
    </cfRule>
  </conditionalFormatting>
  <conditionalFormatting sqref="C6:CP32">
    <cfRule type="expression" dxfId="10" priority="9">
      <formula>OR(C$6=1,C$6=7,ISNUMBER(VLOOKUP(C$7,g_feiertagsmatrix,1,FALSE)))</formula>
    </cfRule>
  </conditionalFormatting>
  <conditionalFormatting sqref="C35:CP61">
    <cfRule type="expression" dxfId="9" priority="8">
      <formula>OR(C$35=1,C$35=7,ISNUMBER(VLOOKUP(C$36,g_feiertagsmatrix,1,FALSE)))</formula>
    </cfRule>
  </conditionalFormatting>
  <conditionalFormatting sqref="AF2">
    <cfRule type="expression" dxfId="8" priority="7" stopIfTrue="1">
      <formula>OR(L$7=1,L$7=7)</formula>
    </cfRule>
  </conditionalFormatting>
  <conditionalFormatting sqref="AO2">
    <cfRule type="expression" dxfId="7" priority="6" stopIfTrue="1">
      <formula>OR(U$7=1,U$7=7)</formula>
    </cfRule>
  </conditionalFormatting>
  <conditionalFormatting sqref="AE2:AF2">
    <cfRule type="expression" dxfId="6" priority="3" stopIfTrue="1">
      <formula>OR(K$7=1,K$7=7)</formula>
    </cfRule>
  </conditionalFormatting>
  <conditionalFormatting sqref="AO2">
    <cfRule type="expression" dxfId="5" priority="2" stopIfTrue="1">
      <formula>OR(U$7=1,U$7=7)</formula>
    </cfRule>
  </conditionalFormatting>
  <conditionalFormatting sqref="AX2">
    <cfRule type="expression" dxfId="4" priority="1" stopIfTrue="1">
      <formula>OR(AD$7=1,AD$7=7)</formula>
    </cfRule>
  </conditionalFormatting>
  <conditionalFormatting sqref="C36:CP36 C7:CP7">
    <cfRule type="expression" dxfId="3" priority="4">
      <formula>MOD(MONTH(C7),2)=1</formula>
    </cfRule>
    <cfRule type="expression" dxfId="2" priority="5">
      <formula>MOD(MONTH(C7),2)=0</formula>
    </cfRule>
  </conditionalFormatting>
  <pageMargins left="0.25" right="0.25" top="0.75" bottom="0.75" header="0.3" footer="0.3"/>
  <pageSetup paperSize="8" scale="21" orientation="landscape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56"/>
  <sheetViews>
    <sheetView workbookViewId="0">
      <selection activeCell="E23" sqref="E23"/>
    </sheetView>
  </sheetViews>
  <sheetFormatPr baseColWidth="10" defaultRowHeight="15" x14ac:dyDescent="0.25"/>
  <cols>
    <col min="1" max="1" width="3.5703125" customWidth="1"/>
    <col min="2" max="2" width="5" bestFit="1" customWidth="1"/>
    <col min="3" max="3" width="10.140625" bestFit="1" customWidth="1"/>
    <col min="4" max="4" width="3.5703125" customWidth="1"/>
    <col min="5" max="5" width="10.140625" bestFit="1" customWidth="1"/>
    <col min="6" max="6" width="18.5703125" bestFit="1" customWidth="1"/>
  </cols>
  <sheetData>
    <row r="2" spans="2:7" x14ac:dyDescent="0.25">
      <c r="B2" s="55" t="s">
        <v>18</v>
      </c>
      <c r="C2" s="55"/>
      <c r="E2" s="56" t="s">
        <v>16</v>
      </c>
      <c r="F2" s="56"/>
      <c r="G2" s="56"/>
    </row>
    <row r="3" spans="2:7" x14ac:dyDescent="0.25">
      <c r="B3">
        <f>g_refjahr</f>
        <v>2021</v>
      </c>
      <c r="C3" s="20">
        <f>VLOOKUP(B3,B7:C48,2)</f>
        <v>44290</v>
      </c>
      <c r="E3" s="21">
        <f>DATE(l_refyear,1,1)</f>
        <v>44197</v>
      </c>
      <c r="F3" s="22" t="s">
        <v>5</v>
      </c>
      <c r="G3" s="23">
        <f>WEEKDAY(E3)</f>
        <v>6</v>
      </c>
    </row>
    <row r="4" spans="2:7" x14ac:dyDescent="0.25">
      <c r="B4">
        <f>B3+1</f>
        <v>2022</v>
      </c>
      <c r="C4" s="20">
        <f>VLOOKUP(B4,B7:C48,2)</f>
        <v>44668</v>
      </c>
      <c r="E4" s="21">
        <f>DATE(l_refyear,1,2)</f>
        <v>44198</v>
      </c>
      <c r="F4" s="22" t="s">
        <v>23</v>
      </c>
      <c r="G4" s="23">
        <f t="shared" ref="G4:G7" si="0">WEEKDAY(E4)</f>
        <v>7</v>
      </c>
    </row>
    <row r="5" spans="2:7" x14ac:dyDescent="0.25">
      <c r="E5" s="21">
        <f>DATE(l_refyear,1,3)</f>
        <v>44199</v>
      </c>
      <c r="F5" s="22" t="s">
        <v>23</v>
      </c>
      <c r="G5" s="23">
        <f t="shared" si="0"/>
        <v>1</v>
      </c>
    </row>
    <row r="6" spans="2:7" x14ac:dyDescent="0.25">
      <c r="B6" s="55" t="s">
        <v>17</v>
      </c>
      <c r="C6" s="55"/>
      <c r="E6" s="21">
        <f>DATE(l_refyear,1,4)</f>
        <v>44200</v>
      </c>
      <c r="F6" s="22" t="s">
        <v>23</v>
      </c>
      <c r="G6" s="23">
        <f t="shared" si="0"/>
        <v>2</v>
      </c>
    </row>
    <row r="7" spans="2:7" x14ac:dyDescent="0.25">
      <c r="B7">
        <v>2006</v>
      </c>
      <c r="C7" s="20">
        <v>38823</v>
      </c>
      <c r="E7" s="21">
        <f>DATE(l_refyear,1,5)</f>
        <v>44201</v>
      </c>
      <c r="F7" s="22" t="s">
        <v>23</v>
      </c>
      <c r="G7" s="23">
        <f t="shared" si="0"/>
        <v>3</v>
      </c>
    </row>
    <row r="8" spans="2:7" x14ac:dyDescent="0.25">
      <c r="B8">
        <v>2007</v>
      </c>
      <c r="C8" s="20">
        <v>39180</v>
      </c>
      <c r="E8" s="21">
        <f>DATE(l_refyear,1,6)</f>
        <v>44202</v>
      </c>
      <c r="F8" s="22" t="s">
        <v>6</v>
      </c>
      <c r="G8" s="23">
        <f t="shared" ref="G8:G56" si="1">WEEKDAY(E8)</f>
        <v>4</v>
      </c>
    </row>
    <row r="9" spans="2:7" x14ac:dyDescent="0.25">
      <c r="B9">
        <v>2008</v>
      </c>
      <c r="C9" s="20">
        <v>39530</v>
      </c>
      <c r="E9" s="24">
        <f>E10-1</f>
        <v>44287</v>
      </c>
      <c r="F9" s="22" t="s">
        <v>23</v>
      </c>
      <c r="G9" s="23">
        <f t="shared" si="1"/>
        <v>5</v>
      </c>
    </row>
    <row r="10" spans="2:7" x14ac:dyDescent="0.25">
      <c r="B10">
        <v>2009</v>
      </c>
      <c r="C10" s="20">
        <v>39915</v>
      </c>
      <c r="E10" s="24">
        <f>l_refyear_ostersonntag-2</f>
        <v>44288</v>
      </c>
      <c r="F10" s="22" t="s">
        <v>7</v>
      </c>
      <c r="G10" s="23">
        <f t="shared" si="1"/>
        <v>6</v>
      </c>
    </row>
    <row r="11" spans="2:7" x14ac:dyDescent="0.25">
      <c r="B11">
        <v>2010</v>
      </c>
      <c r="C11" s="20">
        <v>40272</v>
      </c>
      <c r="E11" s="24">
        <f>l_refyear_ostersonntag+1</f>
        <v>44291</v>
      </c>
      <c r="F11" s="22" t="s">
        <v>8</v>
      </c>
      <c r="G11" s="23">
        <f t="shared" si="1"/>
        <v>2</v>
      </c>
    </row>
    <row r="12" spans="2:7" x14ac:dyDescent="0.25">
      <c r="B12">
        <v>2011</v>
      </c>
      <c r="C12" s="20">
        <v>40657</v>
      </c>
      <c r="E12" s="24">
        <f>E11+1</f>
        <v>44292</v>
      </c>
      <c r="F12" s="36" t="s">
        <v>23</v>
      </c>
      <c r="G12" s="23">
        <f t="shared" si="1"/>
        <v>3</v>
      </c>
    </row>
    <row r="13" spans="2:7" x14ac:dyDescent="0.25">
      <c r="B13">
        <v>2012</v>
      </c>
      <c r="C13" s="20">
        <v>41007</v>
      </c>
      <c r="E13" s="21">
        <f>DATE(l_refyear,5,1)</f>
        <v>44317</v>
      </c>
      <c r="F13" s="22" t="s">
        <v>9</v>
      </c>
      <c r="G13" s="23">
        <f t="shared" si="1"/>
        <v>7</v>
      </c>
    </row>
    <row r="14" spans="2:7" x14ac:dyDescent="0.25">
      <c r="B14">
        <v>2013</v>
      </c>
      <c r="C14" s="20">
        <v>41364</v>
      </c>
      <c r="E14" s="24">
        <f>l_refyear_ostersonntag+39</f>
        <v>44329</v>
      </c>
      <c r="F14" s="22" t="s">
        <v>10</v>
      </c>
      <c r="G14" s="23">
        <f t="shared" si="1"/>
        <v>5</v>
      </c>
    </row>
    <row r="15" spans="2:7" x14ac:dyDescent="0.25">
      <c r="B15">
        <v>2014</v>
      </c>
      <c r="C15" s="20">
        <v>41749</v>
      </c>
      <c r="E15" s="24">
        <f>E14+1</f>
        <v>44330</v>
      </c>
      <c r="F15" s="22" t="s">
        <v>23</v>
      </c>
      <c r="G15" s="23">
        <f t="shared" si="1"/>
        <v>6</v>
      </c>
    </row>
    <row r="16" spans="2:7" x14ac:dyDescent="0.25">
      <c r="B16">
        <v>2015</v>
      </c>
      <c r="C16" s="20">
        <v>42099</v>
      </c>
      <c r="E16" s="24">
        <f>l_refyear_ostersonntag+50</f>
        <v>44340</v>
      </c>
      <c r="F16" s="22" t="s">
        <v>11</v>
      </c>
      <c r="G16" s="23">
        <f t="shared" si="1"/>
        <v>2</v>
      </c>
    </row>
    <row r="17" spans="2:7" x14ac:dyDescent="0.25">
      <c r="B17">
        <v>2016</v>
      </c>
      <c r="C17" s="20">
        <v>42456</v>
      </c>
      <c r="E17" s="24">
        <f>E16+1</f>
        <v>44341</v>
      </c>
      <c r="F17" s="36" t="s">
        <v>23</v>
      </c>
      <c r="G17" s="23">
        <f t="shared" si="1"/>
        <v>3</v>
      </c>
    </row>
    <row r="18" spans="2:7" x14ac:dyDescent="0.25">
      <c r="B18">
        <v>2017</v>
      </c>
      <c r="C18" t="s">
        <v>26</v>
      </c>
      <c r="E18" s="24">
        <f>l_refyear_ostersonntag+60</f>
        <v>44350</v>
      </c>
      <c r="F18" s="22" t="s">
        <v>12</v>
      </c>
      <c r="G18" s="23">
        <f t="shared" si="1"/>
        <v>5</v>
      </c>
    </row>
    <row r="19" spans="2:7" x14ac:dyDescent="0.25">
      <c r="B19">
        <v>2018</v>
      </c>
      <c r="C19" s="20">
        <v>43191</v>
      </c>
      <c r="E19" s="24">
        <f>E18+1</f>
        <v>44351</v>
      </c>
      <c r="F19" s="22" t="s">
        <v>23</v>
      </c>
      <c r="G19" s="23">
        <f t="shared" si="1"/>
        <v>6</v>
      </c>
    </row>
    <row r="20" spans="2:7" x14ac:dyDescent="0.25">
      <c r="B20">
        <v>2019</v>
      </c>
      <c r="C20" s="20">
        <v>43576</v>
      </c>
      <c r="E20" s="21">
        <f>DATE(l_refyear,10,3)</f>
        <v>44472</v>
      </c>
      <c r="F20" s="22" t="s">
        <v>19</v>
      </c>
      <c r="G20" s="23">
        <f t="shared" si="1"/>
        <v>1</v>
      </c>
    </row>
    <row r="21" spans="2:7" x14ac:dyDescent="0.25">
      <c r="B21">
        <v>2020</v>
      </c>
      <c r="C21" s="20">
        <v>43933</v>
      </c>
      <c r="E21" s="21">
        <f>DATE(l_refyear,11,1)</f>
        <v>44501</v>
      </c>
      <c r="F21" s="22" t="s">
        <v>13</v>
      </c>
      <c r="G21" s="23">
        <f t="shared" si="1"/>
        <v>2</v>
      </c>
    </row>
    <row r="22" spans="2:7" x14ac:dyDescent="0.25">
      <c r="B22">
        <v>2021</v>
      </c>
      <c r="C22" s="20">
        <v>44290</v>
      </c>
      <c r="E22" s="21">
        <f>DATE(l_refyear,12,24)</f>
        <v>44554</v>
      </c>
      <c r="F22" s="36" t="s">
        <v>24</v>
      </c>
      <c r="G22" s="23">
        <f t="shared" si="1"/>
        <v>6</v>
      </c>
    </row>
    <row r="23" spans="2:7" x14ac:dyDescent="0.25">
      <c r="B23">
        <v>2022</v>
      </c>
      <c r="C23" s="20">
        <v>44668</v>
      </c>
      <c r="E23" s="21">
        <f>DATE(l_refyear,12,25)</f>
        <v>44555</v>
      </c>
      <c r="F23" s="22" t="s">
        <v>14</v>
      </c>
      <c r="G23" s="23">
        <f t="shared" si="1"/>
        <v>7</v>
      </c>
    </row>
    <row r="24" spans="2:7" x14ac:dyDescent="0.25">
      <c r="B24">
        <v>2023</v>
      </c>
      <c r="C24" s="20">
        <v>45025</v>
      </c>
      <c r="E24" s="21">
        <f>DATE(l_refyear,12,26)</f>
        <v>44556</v>
      </c>
      <c r="F24" s="22" t="s">
        <v>15</v>
      </c>
      <c r="G24" s="23">
        <f t="shared" si="1"/>
        <v>1</v>
      </c>
    </row>
    <row r="25" spans="2:7" x14ac:dyDescent="0.25">
      <c r="B25">
        <v>2024</v>
      </c>
      <c r="C25" s="20">
        <v>45382</v>
      </c>
      <c r="E25" s="21">
        <f>DATE(l_refyear,12,27)</f>
        <v>44557</v>
      </c>
      <c r="F25" s="22" t="s">
        <v>23</v>
      </c>
      <c r="G25" s="23">
        <f t="shared" si="1"/>
        <v>2</v>
      </c>
    </row>
    <row r="26" spans="2:7" x14ac:dyDescent="0.25">
      <c r="B26">
        <v>2025</v>
      </c>
      <c r="C26" s="20">
        <f>DATE(B26,4,20)</f>
        <v>45767</v>
      </c>
      <c r="E26" s="21">
        <f>DATE(l_refyear,12,28)</f>
        <v>44558</v>
      </c>
      <c r="F26" s="22" t="s">
        <v>23</v>
      </c>
      <c r="G26" s="23">
        <f t="shared" si="1"/>
        <v>3</v>
      </c>
    </row>
    <row r="27" spans="2:7" x14ac:dyDescent="0.25">
      <c r="B27">
        <v>2026</v>
      </c>
      <c r="C27" s="20">
        <f>DATE(B27,4,5)</f>
        <v>46117</v>
      </c>
      <c r="E27" s="21">
        <f>DATE(l_refyear,12,29)</f>
        <v>44559</v>
      </c>
      <c r="F27" s="22" t="s">
        <v>23</v>
      </c>
      <c r="G27" s="23">
        <f t="shared" si="1"/>
        <v>4</v>
      </c>
    </row>
    <row r="28" spans="2:7" x14ac:dyDescent="0.25">
      <c r="B28">
        <v>2027</v>
      </c>
      <c r="C28" s="20">
        <f>DATE(B28,3,28)</f>
        <v>46474</v>
      </c>
      <c r="E28" s="21">
        <f>DATE(l_refyear,12,30)</f>
        <v>44560</v>
      </c>
      <c r="F28" s="22" t="s">
        <v>23</v>
      </c>
      <c r="G28" s="23">
        <f t="shared" si="1"/>
        <v>5</v>
      </c>
    </row>
    <row r="29" spans="2:7" x14ac:dyDescent="0.25">
      <c r="B29">
        <v>2028</v>
      </c>
      <c r="C29" s="20">
        <f>DATE(B29,4,16)</f>
        <v>46859</v>
      </c>
      <c r="E29" s="21">
        <f>DATE(l_refyear,12,31)</f>
        <v>44561</v>
      </c>
      <c r="F29" s="36" t="s">
        <v>25</v>
      </c>
      <c r="G29" s="23">
        <f t="shared" si="1"/>
        <v>6</v>
      </c>
    </row>
    <row r="30" spans="2:7" x14ac:dyDescent="0.25">
      <c r="B30">
        <v>2029</v>
      </c>
      <c r="C30" s="20">
        <f>DATE(B30,4,1)</f>
        <v>47209</v>
      </c>
      <c r="E30" s="25">
        <f>DATE(l_nextyear,1,1)</f>
        <v>44562</v>
      </c>
      <c r="F30" s="22" t="s">
        <v>5</v>
      </c>
      <c r="G30" s="23">
        <f t="shared" si="1"/>
        <v>7</v>
      </c>
    </row>
    <row r="31" spans="2:7" x14ac:dyDescent="0.25">
      <c r="B31">
        <v>2030</v>
      </c>
      <c r="C31" s="20">
        <f>DATE(B31,4,21)</f>
        <v>47594</v>
      </c>
      <c r="E31" s="25">
        <f>DATE(l_nextyear,1,2)</f>
        <v>44563</v>
      </c>
      <c r="F31" s="22" t="s">
        <v>23</v>
      </c>
      <c r="G31" s="23">
        <f t="shared" si="1"/>
        <v>1</v>
      </c>
    </row>
    <row r="32" spans="2:7" x14ac:dyDescent="0.25">
      <c r="B32">
        <v>2031</v>
      </c>
      <c r="C32" s="20">
        <f>DATE(B32,4,13)</f>
        <v>47951</v>
      </c>
      <c r="E32" s="25">
        <f>DATE(l_nextyear,1,3)</f>
        <v>44564</v>
      </c>
      <c r="F32" s="22" t="s">
        <v>23</v>
      </c>
      <c r="G32" s="23">
        <f t="shared" si="1"/>
        <v>2</v>
      </c>
    </row>
    <row r="33" spans="2:7" x14ac:dyDescent="0.25">
      <c r="B33">
        <v>2032</v>
      </c>
      <c r="C33" s="20">
        <f>DATE(B33,3,28)</f>
        <v>48301</v>
      </c>
      <c r="E33" s="25">
        <f>DATE(l_nextyear,1,4)</f>
        <v>44565</v>
      </c>
      <c r="F33" s="22" t="s">
        <v>23</v>
      </c>
      <c r="G33" s="23">
        <f t="shared" si="1"/>
        <v>3</v>
      </c>
    </row>
    <row r="34" spans="2:7" x14ac:dyDescent="0.25">
      <c r="B34">
        <v>2033</v>
      </c>
      <c r="C34" s="20">
        <f>DATE(B34,4,17)</f>
        <v>48686</v>
      </c>
      <c r="E34" s="25">
        <f>DATE(l_nextyear,1,5)</f>
        <v>44566</v>
      </c>
      <c r="F34" s="22" t="s">
        <v>23</v>
      </c>
      <c r="G34" s="23">
        <f t="shared" si="1"/>
        <v>4</v>
      </c>
    </row>
    <row r="35" spans="2:7" x14ac:dyDescent="0.25">
      <c r="B35">
        <v>2034</v>
      </c>
      <c r="C35" s="20">
        <f>DATE(B35,4,9)</f>
        <v>49043</v>
      </c>
      <c r="E35" s="25">
        <f>DATE(l_nextyear,1,6)</f>
        <v>44567</v>
      </c>
      <c r="F35" s="22" t="s">
        <v>6</v>
      </c>
      <c r="G35" s="23">
        <f t="shared" si="1"/>
        <v>5</v>
      </c>
    </row>
    <row r="36" spans="2:7" x14ac:dyDescent="0.25">
      <c r="B36">
        <v>2035</v>
      </c>
      <c r="C36" s="20">
        <f>DATE(B36,3,25)</f>
        <v>49393</v>
      </c>
      <c r="E36" s="26">
        <f>E37-1</f>
        <v>44665</v>
      </c>
      <c r="F36" s="22" t="s">
        <v>23</v>
      </c>
      <c r="G36" s="23">
        <f t="shared" si="1"/>
        <v>5</v>
      </c>
    </row>
    <row r="37" spans="2:7" x14ac:dyDescent="0.25">
      <c r="B37">
        <v>2036</v>
      </c>
      <c r="C37" s="20">
        <f>DATE(B37,4,13)</f>
        <v>49778</v>
      </c>
      <c r="E37" s="26">
        <f>l_nextyear_ostersonntag-2</f>
        <v>44666</v>
      </c>
      <c r="F37" s="22" t="s">
        <v>7</v>
      </c>
      <c r="G37" s="23">
        <f t="shared" si="1"/>
        <v>6</v>
      </c>
    </row>
    <row r="38" spans="2:7" x14ac:dyDescent="0.25">
      <c r="B38">
        <v>2037</v>
      </c>
      <c r="C38" s="20">
        <f>DATE(B38,4,5)</f>
        <v>50135</v>
      </c>
      <c r="E38" s="26">
        <f>l_nextyear_ostersonntag+1</f>
        <v>44669</v>
      </c>
      <c r="F38" s="22" t="s">
        <v>8</v>
      </c>
      <c r="G38" s="23">
        <f t="shared" si="1"/>
        <v>2</v>
      </c>
    </row>
    <row r="39" spans="2:7" x14ac:dyDescent="0.25">
      <c r="B39">
        <v>2038</v>
      </c>
      <c r="C39" s="20">
        <f>DATE(B39,4,25)</f>
        <v>50520</v>
      </c>
      <c r="E39" s="26">
        <f>E38+1</f>
        <v>44670</v>
      </c>
      <c r="F39" s="22" t="s">
        <v>23</v>
      </c>
      <c r="G39" s="23">
        <f t="shared" si="1"/>
        <v>3</v>
      </c>
    </row>
    <row r="40" spans="2:7" x14ac:dyDescent="0.25">
      <c r="B40">
        <v>2039</v>
      </c>
      <c r="C40" s="20">
        <f>DATE(B40,4,10)</f>
        <v>50870</v>
      </c>
      <c r="E40" s="25">
        <f>DATE(l_nextyear,5,1)</f>
        <v>44682</v>
      </c>
      <c r="F40" s="22" t="s">
        <v>9</v>
      </c>
      <c r="G40" s="23">
        <f t="shared" si="1"/>
        <v>1</v>
      </c>
    </row>
    <row r="41" spans="2:7" x14ac:dyDescent="0.25">
      <c r="B41">
        <v>2040</v>
      </c>
      <c r="C41" s="20">
        <f t="shared" ref="C31:C48" si="2">DATE(B41,4,1)</f>
        <v>51227</v>
      </c>
      <c r="E41" s="26">
        <f>l_nextyear_ostersonntag+39</f>
        <v>44707</v>
      </c>
      <c r="F41" s="22" t="s">
        <v>10</v>
      </c>
      <c r="G41" s="23">
        <f t="shared" si="1"/>
        <v>5</v>
      </c>
    </row>
    <row r="42" spans="2:7" x14ac:dyDescent="0.25">
      <c r="B42">
        <v>2041</v>
      </c>
      <c r="C42" s="20">
        <f>DATE(B42,4,21)</f>
        <v>51612</v>
      </c>
      <c r="E42" s="26">
        <f>E41+1</f>
        <v>44708</v>
      </c>
      <c r="F42" s="22" t="s">
        <v>23</v>
      </c>
      <c r="G42" s="23">
        <f t="shared" si="1"/>
        <v>6</v>
      </c>
    </row>
    <row r="43" spans="2:7" x14ac:dyDescent="0.25">
      <c r="B43">
        <v>2042</v>
      </c>
      <c r="C43" s="20">
        <f>DATE(B43,4,6)</f>
        <v>51962</v>
      </c>
      <c r="E43" s="26">
        <f>l_nextyear_ostersonntag+50</f>
        <v>44718</v>
      </c>
      <c r="F43" s="22" t="s">
        <v>11</v>
      </c>
      <c r="G43" s="23">
        <f t="shared" si="1"/>
        <v>2</v>
      </c>
    </row>
    <row r="44" spans="2:7" x14ac:dyDescent="0.25">
      <c r="B44">
        <v>2043</v>
      </c>
      <c r="C44" s="20">
        <f>DATE(B44,3,29)</f>
        <v>52319</v>
      </c>
      <c r="E44" s="26">
        <f>E43+1</f>
        <v>44719</v>
      </c>
      <c r="F44" s="36" t="s">
        <v>23</v>
      </c>
      <c r="G44" s="23">
        <f t="shared" si="1"/>
        <v>3</v>
      </c>
    </row>
    <row r="45" spans="2:7" x14ac:dyDescent="0.25">
      <c r="B45">
        <v>2044</v>
      </c>
      <c r="C45" s="20">
        <f>DATE(B45,4,17)</f>
        <v>52704</v>
      </c>
      <c r="E45" s="26">
        <f>l_nextyear_ostersonntag+60</f>
        <v>44728</v>
      </c>
      <c r="F45" s="22" t="s">
        <v>12</v>
      </c>
      <c r="G45" s="23">
        <f t="shared" si="1"/>
        <v>5</v>
      </c>
    </row>
    <row r="46" spans="2:7" x14ac:dyDescent="0.25">
      <c r="B46">
        <v>2045</v>
      </c>
      <c r="C46" s="20">
        <f>DATE(B46,4,9)</f>
        <v>53061</v>
      </c>
      <c r="E46" s="26">
        <f>E45+1</f>
        <v>44729</v>
      </c>
      <c r="F46" s="36" t="s">
        <v>23</v>
      </c>
      <c r="G46" s="23">
        <f t="shared" si="1"/>
        <v>6</v>
      </c>
    </row>
    <row r="47" spans="2:7" x14ac:dyDescent="0.25">
      <c r="B47">
        <v>2046</v>
      </c>
      <c r="C47" s="20">
        <f>DATE(B47,3,25)</f>
        <v>53411</v>
      </c>
      <c r="E47" s="25">
        <f>DATE(l_nextyear,10,3)</f>
        <v>44837</v>
      </c>
      <c r="F47" s="22" t="s">
        <v>19</v>
      </c>
      <c r="G47" s="23">
        <f t="shared" si="1"/>
        <v>2</v>
      </c>
    </row>
    <row r="48" spans="2:7" x14ac:dyDescent="0.25">
      <c r="B48">
        <v>2047</v>
      </c>
      <c r="C48" s="20">
        <f>DATE(B48,4,14)</f>
        <v>53796</v>
      </c>
      <c r="E48" s="25">
        <f>DATE(l_nextyear,11,1)</f>
        <v>44866</v>
      </c>
      <c r="F48" s="22" t="s">
        <v>13</v>
      </c>
      <c r="G48" s="23">
        <f t="shared" si="1"/>
        <v>3</v>
      </c>
    </row>
    <row r="49" spans="5:7" x14ac:dyDescent="0.25">
      <c r="E49" s="25">
        <f>DATE(l_nextyear,12,24)</f>
        <v>44919</v>
      </c>
      <c r="F49" s="36" t="s">
        <v>24</v>
      </c>
      <c r="G49" s="23">
        <f t="shared" si="1"/>
        <v>7</v>
      </c>
    </row>
    <row r="50" spans="5:7" x14ac:dyDescent="0.25">
      <c r="E50" s="25">
        <f>DATE(l_nextyear,12,25)</f>
        <v>44920</v>
      </c>
      <c r="F50" s="22" t="s">
        <v>14</v>
      </c>
      <c r="G50" s="23">
        <f t="shared" si="1"/>
        <v>1</v>
      </c>
    </row>
    <row r="51" spans="5:7" x14ac:dyDescent="0.25">
      <c r="E51" s="25">
        <f>DATE(l_nextyear,12,26)</f>
        <v>44921</v>
      </c>
      <c r="F51" s="22" t="s">
        <v>15</v>
      </c>
      <c r="G51" s="23">
        <f t="shared" ref="G51:G55" si="3">WEEKDAY(E51)</f>
        <v>2</v>
      </c>
    </row>
    <row r="52" spans="5:7" x14ac:dyDescent="0.25">
      <c r="E52" s="25">
        <f>DATE(l_nextyear,12,27)</f>
        <v>44922</v>
      </c>
      <c r="F52" s="22" t="s">
        <v>23</v>
      </c>
      <c r="G52" s="23">
        <f t="shared" si="3"/>
        <v>3</v>
      </c>
    </row>
    <row r="53" spans="5:7" x14ac:dyDescent="0.25">
      <c r="E53" s="25">
        <f>DATE(l_nextyear,12,28)</f>
        <v>44923</v>
      </c>
      <c r="F53" s="22" t="s">
        <v>23</v>
      </c>
      <c r="G53" s="23">
        <f t="shared" si="3"/>
        <v>4</v>
      </c>
    </row>
    <row r="54" spans="5:7" x14ac:dyDescent="0.25">
      <c r="E54" s="25">
        <f>DATE(l_nextyear,12,29)</f>
        <v>44924</v>
      </c>
      <c r="F54" s="22" t="s">
        <v>23</v>
      </c>
      <c r="G54" s="23">
        <f t="shared" si="3"/>
        <v>5</v>
      </c>
    </row>
    <row r="55" spans="5:7" x14ac:dyDescent="0.25">
      <c r="E55" s="25">
        <f>DATE(l_nextyear,12,30)</f>
        <v>44925</v>
      </c>
      <c r="F55" s="22" t="s">
        <v>23</v>
      </c>
      <c r="G55" s="23">
        <f t="shared" si="3"/>
        <v>6</v>
      </c>
    </row>
    <row r="56" spans="5:7" x14ac:dyDescent="0.25">
      <c r="E56" s="25">
        <f>DATE(l_nextyear,12,31)</f>
        <v>44926</v>
      </c>
      <c r="F56" s="22" t="s">
        <v>25</v>
      </c>
      <c r="G56" s="23">
        <f t="shared" si="1"/>
        <v>7</v>
      </c>
    </row>
  </sheetData>
  <mergeCells count="3">
    <mergeCell ref="B6:C6"/>
    <mergeCell ref="B2:C2"/>
    <mergeCell ref="E2:G2"/>
  </mergeCells>
  <conditionalFormatting sqref="G56 G3:G50">
    <cfRule type="cellIs" dxfId="1" priority="2" operator="notBetween">
      <formula>2</formula>
      <formula>6</formula>
    </cfRule>
  </conditionalFormatting>
  <conditionalFormatting sqref="G51:G55">
    <cfRule type="cellIs" dxfId="0" priority="1" operator="notBetween">
      <formula>2</formula>
      <formula>6</formula>
    </cfRule>
  </conditionalFormatting>
  <pageMargins left="0.7" right="0.7" top="0.78740157499999996" bottom="0.78740157499999996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2</vt:i4>
      </vt:variant>
      <vt:variant>
        <vt:lpstr>Benannte Bereiche</vt:lpstr>
      </vt:variant>
      <vt:variant>
        <vt:i4>7</vt:i4>
      </vt:variant>
    </vt:vector>
  </HeadingPairs>
  <TitlesOfParts>
    <vt:vector size="9" baseType="lpstr">
      <vt:lpstr>Semesterprojektplan</vt:lpstr>
      <vt:lpstr>Feiertage_BY</vt:lpstr>
      <vt:lpstr>g_feiertagsmatrix</vt:lpstr>
      <vt:lpstr>g_refdatum</vt:lpstr>
      <vt:lpstr>g_refjahr</vt:lpstr>
      <vt:lpstr>l_nextyear</vt:lpstr>
      <vt:lpstr>l_nextyear_ostersonntag</vt:lpstr>
      <vt:lpstr>l_refyear</vt:lpstr>
      <vt:lpstr>l_refyear_ostersonntag</vt:lpstr>
    </vt:vector>
  </TitlesOfParts>
  <Company>Friedrich Alexander Universität Erlangen-Nürnberg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Jahresprojektplan</dc:title>
  <dc:creator>Christoph Neumann</dc:creator>
  <cp:keywords>jahr projekt plan semester</cp:keywords>
  <cp:lastModifiedBy>Christoph P. Neumann</cp:lastModifiedBy>
  <cp:lastPrinted>2007-09-11T20:06:16Z</cp:lastPrinted>
  <dcterms:created xsi:type="dcterms:W3CDTF">2007-09-11T11:55:01Z</dcterms:created>
  <dcterms:modified xsi:type="dcterms:W3CDTF">2021-03-26T08:41:47Z</dcterms:modified>
  <cp:category>kalendar</cp:category>
</cp:coreProperties>
</file>